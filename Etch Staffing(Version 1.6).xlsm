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w2w\Documents\MyProgramming\VBA\staffingProjectGit\"/>
    </mc:Choice>
  </mc:AlternateContent>
  <xr:revisionPtr revIDLastSave="0" documentId="13_ncr:1_{0B076FF8-410D-4069-9ECE-EF5AAA44B43E}" xr6:coauthVersionLast="45" xr6:coauthVersionMax="45" xr10:uidLastSave="{00000000-0000-0000-0000-000000000000}"/>
  <bookViews>
    <workbookView xWindow="5220" yWindow="2475" windowWidth="21600" windowHeight="11835" xr2:uid="{E822A270-4D6C-4875-8B2F-3885A50CEA9A}"/>
  </bookViews>
  <sheets>
    <sheet name="Schedule" sheetId="8" r:id="rId1"/>
    <sheet name="Data" sheetId="4" r:id="rId2"/>
    <sheet name="Calc2" sheetId="5" r:id="rId3"/>
  </sheets>
  <definedNames>
    <definedName name="Bays1">Calc2!$B$1:INDEX(Calc2!$B$1:$E$1,COUNTIF(Calc2!$B$1:$E$1,"?*"))</definedName>
    <definedName name="Bays10">Calc2!$B$10:INDEX(Calc2!$B$10:$E$10,COUNTIF(Calc2!$B$10:$E$10,"?*"))</definedName>
    <definedName name="Bays11">Calc2!$B$11:INDEX(Calc2!$B$11:$E$11,COUNTIF(Calc2!$B$11:$E$11,"?*"))</definedName>
    <definedName name="Bays12">Calc2!$B$12:INDEX(Calc2!$B$12:$E$12,COUNTIF(Calc2!$B$12:$E$12,"?*"))</definedName>
    <definedName name="Bays13">Calc2!$B$13:INDEX(Calc2!$B$13:$E$13,COUNTIF(Calc2!$B$13:$E$13,"?*"))</definedName>
    <definedName name="Bays14">Calc2!$B$14:INDEX(Calc2!$B$14:$E$14,COUNTIF(Calc2!$B$14:$E$14,"?*"))</definedName>
    <definedName name="Bays15">Calc2!$B$15:INDEX(Calc2!$B$15:$E$15,COUNTIF(Calc2!$B$15:$E$15,"?*"))</definedName>
    <definedName name="Bays16">Calc2!$B$16:INDEX(Calc2!$B$16:$E$16,COUNTIF(Calc2!$B$16:$E$16,"?*"))</definedName>
    <definedName name="Bays17">Calc2!$B$17:INDEX(Calc2!$B$17:$E$17,COUNTIF(Calc2!$B$17:$E$17,"?*"))</definedName>
    <definedName name="Bays18">Calc2!$B$18:INDEX(Calc2!$B$18:$E$18,COUNTIF(Calc2!$B$18:$E$18,"?*"))</definedName>
    <definedName name="Bays19">Calc2!$B$19:INDEX(Calc2!$B$19:$E$19,COUNTIF(Calc2!$B$19:$E$19,"?*"))</definedName>
    <definedName name="Bays2">Calc2!$B$2:INDEX(Calc2!$B$2:$E$2,COUNTIF(Calc2!$B$2:$E$2,"?*"))</definedName>
    <definedName name="Bays20">Calc2!$B$20:INDEX(Calc2!$B$20:$E$20,COUNTIF(Calc2!$B$20:$E$20,"?*"))</definedName>
    <definedName name="Bays3">Calc2!$B$3:INDEX(Calc2!$B$3:$E$3,COUNTIF(Calc2!$B$3:$E$3,"?*"))</definedName>
    <definedName name="Bays4">Calc2!$B$4:INDEX(Calc2!$B$4:$E$4,COUNTIF(Calc2!$B$4:$E$4,"?*"))</definedName>
    <definedName name="Bays5">Calc2!$B$5:INDEX(Calc2!$B$5:$E$5,COUNTIF(Calc2!$B$5:$E$5,"?*"))</definedName>
    <definedName name="Bays6">Calc2!$B$6:INDEX(Calc2!$B$6:$E$6,COUNTIF(Calc2!$B$6:$E$6,"?*"))</definedName>
    <definedName name="Bays7">Calc2!$B$7:INDEX(Calc2!$B$7:$E$7,COUNTIF(Calc2!$B$7:$E$7,"?*"))</definedName>
    <definedName name="Bays8">Calc2!$B$8:INDEX(Calc2!$B$8:$E$8,COUNTIF(Calc2!$B$8:$E$8,"?*"))</definedName>
    <definedName name="Bays9">Calc2!$B$9:INDEX(Calc2!$B$9:$E$9,COUNTIF(Calc2!$B$9:$E$9,"?*"))</definedName>
    <definedName name="Break1" localSheetId="0">Schedule!$B$19:$B$23</definedName>
    <definedName name="Break10" localSheetId="0">Schedule!$K$19:$K$23</definedName>
    <definedName name="Break11" localSheetId="0">Schedule!$L$19:$L$23</definedName>
    <definedName name="Break12" localSheetId="0">Schedule!$M$19:$M$23</definedName>
    <definedName name="Break2" localSheetId="0">Schedule!$C$19:$C$23</definedName>
    <definedName name="Break3" localSheetId="0">Schedule!$D$19:$D$23</definedName>
    <definedName name="Break4" localSheetId="0">Schedule!$E$19:$E$23</definedName>
    <definedName name="Break5" localSheetId="0">Schedule!$F$19:$F$23</definedName>
    <definedName name="Break6" localSheetId="0">Schedule!$G$19:$G$23</definedName>
    <definedName name="Break7" localSheetId="0">Schedule!$H$19:$H$23</definedName>
    <definedName name="Break8" localSheetId="0">Schedule!$I$19:$I$23</definedName>
    <definedName name="Break9" localSheetId="0">Schedule!$J$19:$J$23</definedName>
    <definedName name="Current_Bay">"A,B,C,D"</definedName>
    <definedName name="EndTime" localSheetId="0">Schedule!$BY$2:INDEX(Schedule!$BY$2:$BY$13,COUNTIF(Schedule!$BY$2:$BY$13,"&gt;"&amp;Schedule!$P1))</definedName>
    <definedName name="EndTime2">Calc2!$H$2:INDEX(Calc2!$H$2:$H$13,COUNTIF(Calc2!$H$2:$H$13,"&gt;"&amp;Data!$F1))</definedName>
    <definedName name="Hour1" localSheetId="0">Schedule!$B$3:$B$15</definedName>
    <definedName name="Hour10" localSheetId="0">Schedule!$K$3:$K$15</definedName>
    <definedName name="Hour11" localSheetId="0">Schedule!$L$3:$L$15</definedName>
    <definedName name="Hour12" localSheetId="0">Schedule!$M$3:$M$15</definedName>
    <definedName name="Hour2" localSheetId="0">Schedule!$C$3:$C$15</definedName>
    <definedName name="Hour3" localSheetId="0">Schedule!$D$3:$D$15</definedName>
    <definedName name="Hour4" localSheetId="0">Schedule!$E$3:$E$15</definedName>
    <definedName name="Hour5" localSheetId="0">Schedule!$F$3:$F$15</definedName>
    <definedName name="Hour6" localSheetId="0">Schedule!$G$3:$G$15</definedName>
    <definedName name="Hour7" localSheetId="0">Schedule!$H$3:$H$15</definedName>
    <definedName name="Hour8" localSheetId="0">Schedule!$I$3:$I$15</definedName>
    <definedName name="Hour9" localSheetId="0">Schedule!$J$3:$J$15</definedName>
    <definedName name="List1" localSheetId="0">Schedule!$AD$3:INDEX(Schedule!$AD$3:$AD$17,COUNTIF(Schedule!$AD$3:$AD$17,"?*"))</definedName>
    <definedName name="List10" localSheetId="0">Schedule!$BN$3:INDEX(Schedule!$BN$3:$BN$17,COUNTIF(Schedule!$BN$3:$BN$17,"?*"))</definedName>
    <definedName name="List11" localSheetId="0">Schedule!$BR$3:INDEX(Schedule!$BR$3:$BR$17,COUNTIF(Schedule!$BR$3:$BR$17,"?*"))</definedName>
    <definedName name="List12" localSheetId="0">Schedule!$BV$3:INDEX(Schedule!$BV$3:$BV$17,COUNTIF(Schedule!$BV$3:$BV$17,"?*"))</definedName>
    <definedName name="List2" localSheetId="0">Schedule!$AH$3:INDEX(Schedule!$AH$3:$AH$17,COUNTIF(Schedule!$AH$3:$AH$17,"?*"))</definedName>
    <definedName name="List3" localSheetId="0">Schedule!$AL$3:INDEX(Schedule!$AL$3:$AL$17,COUNTIF(Schedule!$AL$3:$AL$17,"?*"))</definedName>
    <definedName name="List4" localSheetId="0">Schedule!$AP$3:INDEX(Schedule!$AP$3:$AP$17,COUNTIF(Schedule!$AP$3:$AP$17,"?*"))</definedName>
    <definedName name="List5" localSheetId="0">Schedule!$AT$3:INDEX(Schedule!$AT$3:$AT$17,COUNTIF(Schedule!$AT$3:$AT$17,"?*"))</definedName>
    <definedName name="List6" localSheetId="0">Schedule!$AX$3:INDEX(Schedule!$AX$3:$AX$17,COUNTIF(Schedule!$AX$3:$AX$17,"?*"))</definedName>
    <definedName name="List7" localSheetId="0">Schedule!$BB$3:INDEX(Schedule!$BB$3:$BB$17,COUNTIF(Schedule!$BB$3:$BB$17,"?*"))</definedName>
    <definedName name="List8" localSheetId="0">Schedule!$BF$3:INDEX(Schedule!$BF$3:$BF$17,COUNTIF(Schedule!$BF$3:$BF$17,"?*"))</definedName>
    <definedName name="List9" localSheetId="0">Schedule!$BJ$3:INDEX(Schedule!$BJ$3:$BJ$17,COUNTIF(Schedule!$BJ$3:$BJ$17,"?*"))</definedName>
    <definedName name="PTO" localSheetId="0">Schedule!$A$24:$A$24</definedName>
    <definedName name="Staff" localSheetId="0">Schedule!$O$2:$O$16</definedName>
    <definedName name="StartTime" localSheetId="0">Schedule!$BX$2:INDEX(Schedule!$BX$2:$BX$13,COUNTIF(Schedule!$BX$2:$BX$13,"&lt;"&amp;Schedule!$Q1))</definedName>
    <definedName name="StartTime2">Calc2!$G$2:INDEX(Calc2!$G$2:$G$13,COUNTIF(Calc2!$G$2:$G$13,"&lt;"&amp;Data!$G1))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B16" i="8" l="1"/>
  <c r="CA16" i="8"/>
  <c r="BS17" i="8" l="1"/>
  <c r="BT17" i="8" s="1"/>
  <c r="BO17" i="8"/>
  <c r="BP17" i="8" s="1"/>
  <c r="BK17" i="8"/>
  <c r="BL17" i="8" s="1"/>
  <c r="BG17" i="8"/>
  <c r="BH17" i="8" s="1"/>
  <c r="BC17" i="8"/>
  <c r="BD17" i="8" s="1"/>
  <c r="AY17" i="8"/>
  <c r="AZ17" i="8" s="1"/>
  <c r="AU17" i="8"/>
  <c r="AV17" i="8" s="1"/>
  <c r="AQ17" i="8"/>
  <c r="AR17" i="8" s="1"/>
  <c r="AM17" i="8"/>
  <c r="AN17" i="8" s="1"/>
  <c r="AI17" i="8"/>
  <c r="AJ17" i="8" s="1"/>
  <c r="AE17" i="8"/>
  <c r="AF17" i="8" s="1"/>
  <c r="AA17" i="8"/>
  <c r="AB17" i="8" s="1"/>
  <c r="BS16" i="8"/>
  <c r="BT16" i="8" s="1"/>
  <c r="BO16" i="8"/>
  <c r="BP16" i="8" s="1"/>
  <c r="BK16" i="8"/>
  <c r="BL16" i="8" s="1"/>
  <c r="BG16" i="8"/>
  <c r="BH16" i="8" s="1"/>
  <c r="BC16" i="8"/>
  <c r="BD16" i="8" s="1"/>
  <c r="AY16" i="8"/>
  <c r="AZ16" i="8" s="1"/>
  <c r="AU16" i="8"/>
  <c r="AV16" i="8" s="1"/>
  <c r="AQ16" i="8"/>
  <c r="AR16" i="8" s="1"/>
  <c r="AM16" i="8"/>
  <c r="AN16" i="8" s="1"/>
  <c r="AI16" i="8"/>
  <c r="AJ16" i="8" s="1"/>
  <c r="AE16" i="8"/>
  <c r="AF16" i="8" s="1"/>
  <c r="AA16" i="8"/>
  <c r="AB16" i="8" s="1"/>
  <c r="CB15" i="8"/>
  <c r="CA15" i="8"/>
  <c r="BS15" i="8"/>
  <c r="BT15" i="8" s="1"/>
  <c r="BO15" i="8"/>
  <c r="BP15" i="8" s="1"/>
  <c r="BK15" i="8"/>
  <c r="BL15" i="8" s="1"/>
  <c r="BG15" i="8"/>
  <c r="BH15" i="8" s="1"/>
  <c r="BC15" i="8"/>
  <c r="BD15" i="8" s="1"/>
  <c r="AY15" i="8"/>
  <c r="AZ15" i="8" s="1"/>
  <c r="AU15" i="8"/>
  <c r="AV15" i="8" s="1"/>
  <c r="AQ15" i="8"/>
  <c r="AR15" i="8" s="1"/>
  <c r="AM15" i="8"/>
  <c r="AN15" i="8" s="1"/>
  <c r="AI15" i="8"/>
  <c r="AJ15" i="8" s="1"/>
  <c r="AE15" i="8"/>
  <c r="AF15" i="8" s="1"/>
  <c r="AA15" i="8"/>
  <c r="AB15" i="8" s="1"/>
  <c r="CB14" i="8"/>
  <c r="CA14" i="8"/>
  <c r="BS14" i="8"/>
  <c r="BT14" i="8" s="1"/>
  <c r="BO14" i="8"/>
  <c r="BP14" i="8" s="1"/>
  <c r="BK14" i="8"/>
  <c r="BL14" i="8" s="1"/>
  <c r="BG14" i="8"/>
  <c r="BH14" i="8" s="1"/>
  <c r="BC14" i="8"/>
  <c r="BD14" i="8" s="1"/>
  <c r="AY14" i="8"/>
  <c r="AZ14" i="8" s="1"/>
  <c r="AU14" i="8"/>
  <c r="AV14" i="8" s="1"/>
  <c r="AQ14" i="8"/>
  <c r="AR14" i="8" s="1"/>
  <c r="AM14" i="8"/>
  <c r="AN14" i="8" s="1"/>
  <c r="AI14" i="8"/>
  <c r="AJ14" i="8" s="1"/>
  <c r="AE14" i="8"/>
  <c r="AF14" i="8" s="1"/>
  <c r="AA14" i="8"/>
  <c r="AB14" i="8" s="1"/>
  <c r="CB13" i="8"/>
  <c r="CA13" i="8"/>
  <c r="BS13" i="8"/>
  <c r="BT13" i="8" s="1"/>
  <c r="BO13" i="8"/>
  <c r="BP13" i="8" s="1"/>
  <c r="BK13" i="8"/>
  <c r="BL13" i="8" s="1"/>
  <c r="BG13" i="8"/>
  <c r="BH13" i="8" s="1"/>
  <c r="BC13" i="8"/>
  <c r="BD13" i="8" s="1"/>
  <c r="AY13" i="8"/>
  <c r="AZ13" i="8" s="1"/>
  <c r="AU13" i="8"/>
  <c r="AV13" i="8" s="1"/>
  <c r="AQ13" i="8"/>
  <c r="AR13" i="8" s="1"/>
  <c r="AM13" i="8"/>
  <c r="AN13" i="8" s="1"/>
  <c r="AI13" i="8"/>
  <c r="AJ13" i="8" s="1"/>
  <c r="AE13" i="8"/>
  <c r="AF13" i="8" s="1"/>
  <c r="AA13" i="8"/>
  <c r="AB13" i="8" s="1"/>
  <c r="CB12" i="8"/>
  <c r="CA12" i="8"/>
  <c r="BS12" i="8"/>
  <c r="BT12" i="8" s="1"/>
  <c r="BO12" i="8"/>
  <c r="BP12" i="8" s="1"/>
  <c r="BK12" i="8"/>
  <c r="BL12" i="8" s="1"/>
  <c r="BG12" i="8"/>
  <c r="BH12" i="8" s="1"/>
  <c r="BC12" i="8"/>
  <c r="BD12" i="8" s="1"/>
  <c r="AY12" i="8"/>
  <c r="AZ12" i="8" s="1"/>
  <c r="AU12" i="8"/>
  <c r="AV12" i="8" s="1"/>
  <c r="AQ12" i="8"/>
  <c r="AR12" i="8" s="1"/>
  <c r="AM12" i="8"/>
  <c r="AN12" i="8" s="1"/>
  <c r="AI12" i="8"/>
  <c r="AJ12" i="8" s="1"/>
  <c r="AE12" i="8"/>
  <c r="AF12" i="8" s="1"/>
  <c r="AA12" i="8"/>
  <c r="AB12" i="8" s="1"/>
  <c r="CB11" i="8"/>
  <c r="CA11" i="8"/>
  <c r="BS11" i="8"/>
  <c r="BT11" i="8" s="1"/>
  <c r="BO11" i="8"/>
  <c r="BP11" i="8" s="1"/>
  <c r="BK11" i="8"/>
  <c r="BL11" i="8" s="1"/>
  <c r="BG11" i="8"/>
  <c r="BH11" i="8" s="1"/>
  <c r="BC11" i="8"/>
  <c r="BD11" i="8" s="1"/>
  <c r="AY11" i="8"/>
  <c r="AZ11" i="8" s="1"/>
  <c r="AU11" i="8"/>
  <c r="AV11" i="8" s="1"/>
  <c r="AQ11" i="8"/>
  <c r="AR11" i="8" s="1"/>
  <c r="AM11" i="8"/>
  <c r="AN11" i="8" s="1"/>
  <c r="AI11" i="8"/>
  <c r="AJ11" i="8" s="1"/>
  <c r="AE11" i="8"/>
  <c r="AF11" i="8" s="1"/>
  <c r="AA11" i="8"/>
  <c r="AB11" i="8" s="1"/>
  <c r="CB10" i="8"/>
  <c r="CA10" i="8"/>
  <c r="BS10" i="8"/>
  <c r="BT10" i="8" s="1"/>
  <c r="BO10" i="8"/>
  <c r="BP10" i="8" s="1"/>
  <c r="BK10" i="8"/>
  <c r="BL10" i="8" s="1"/>
  <c r="BG10" i="8"/>
  <c r="BH10" i="8" s="1"/>
  <c r="BC10" i="8"/>
  <c r="BD10" i="8" s="1"/>
  <c r="AY10" i="8"/>
  <c r="AZ10" i="8" s="1"/>
  <c r="AU10" i="8"/>
  <c r="AV10" i="8" s="1"/>
  <c r="AQ10" i="8"/>
  <c r="AR10" i="8" s="1"/>
  <c r="AM10" i="8"/>
  <c r="AN10" i="8" s="1"/>
  <c r="AI10" i="8"/>
  <c r="AJ10" i="8" s="1"/>
  <c r="AE10" i="8"/>
  <c r="AF10" i="8" s="1"/>
  <c r="AA10" i="8"/>
  <c r="AB10" i="8" s="1"/>
  <c r="CB9" i="8"/>
  <c r="CA9" i="8"/>
  <c r="BS9" i="8"/>
  <c r="BT9" i="8" s="1"/>
  <c r="BO9" i="8"/>
  <c r="BP9" i="8" s="1"/>
  <c r="BK9" i="8"/>
  <c r="BL9" i="8" s="1"/>
  <c r="BG9" i="8"/>
  <c r="BH9" i="8" s="1"/>
  <c r="BC9" i="8"/>
  <c r="BD9" i="8" s="1"/>
  <c r="AY9" i="8"/>
  <c r="AZ9" i="8" s="1"/>
  <c r="AU9" i="8"/>
  <c r="AV9" i="8" s="1"/>
  <c r="AQ9" i="8"/>
  <c r="AR9" i="8" s="1"/>
  <c r="AM9" i="8"/>
  <c r="AN9" i="8" s="1"/>
  <c r="AI9" i="8"/>
  <c r="AJ9" i="8" s="1"/>
  <c r="AE9" i="8"/>
  <c r="AF9" i="8" s="1"/>
  <c r="AA9" i="8"/>
  <c r="AB9" i="8" s="1"/>
  <c r="CB8" i="8"/>
  <c r="CA8" i="8"/>
  <c r="BS8" i="8"/>
  <c r="BT8" i="8" s="1"/>
  <c r="BO8" i="8"/>
  <c r="BP8" i="8" s="1"/>
  <c r="BK8" i="8"/>
  <c r="BL8" i="8" s="1"/>
  <c r="BG8" i="8"/>
  <c r="BH8" i="8" s="1"/>
  <c r="BC8" i="8"/>
  <c r="BD8" i="8" s="1"/>
  <c r="AY8" i="8"/>
  <c r="AZ8" i="8" s="1"/>
  <c r="AU8" i="8"/>
  <c r="AV8" i="8" s="1"/>
  <c r="AQ8" i="8"/>
  <c r="AR8" i="8" s="1"/>
  <c r="AM8" i="8"/>
  <c r="AN8" i="8" s="1"/>
  <c r="AI8" i="8"/>
  <c r="AJ8" i="8" s="1"/>
  <c r="AE8" i="8"/>
  <c r="AF8" i="8" s="1"/>
  <c r="AA8" i="8"/>
  <c r="AB8" i="8" s="1"/>
  <c r="CB7" i="8"/>
  <c r="CA7" i="8"/>
  <c r="BS7" i="8"/>
  <c r="BT7" i="8" s="1"/>
  <c r="BO7" i="8"/>
  <c r="BP7" i="8" s="1"/>
  <c r="BK7" i="8"/>
  <c r="BL7" i="8" s="1"/>
  <c r="BG7" i="8"/>
  <c r="BH7" i="8" s="1"/>
  <c r="BC7" i="8"/>
  <c r="BD7" i="8" s="1"/>
  <c r="AY7" i="8"/>
  <c r="AZ7" i="8" s="1"/>
  <c r="AU7" i="8"/>
  <c r="AV7" i="8" s="1"/>
  <c r="AQ7" i="8"/>
  <c r="AR7" i="8" s="1"/>
  <c r="AM7" i="8"/>
  <c r="AN7" i="8" s="1"/>
  <c r="AI7" i="8"/>
  <c r="AJ7" i="8" s="1"/>
  <c r="AE7" i="8"/>
  <c r="AF7" i="8" s="1"/>
  <c r="AA7" i="8"/>
  <c r="AB7" i="8" s="1"/>
  <c r="CB6" i="8"/>
  <c r="CA6" i="8"/>
  <c r="BS6" i="8"/>
  <c r="BT6" i="8" s="1"/>
  <c r="BO6" i="8"/>
  <c r="BP6" i="8" s="1"/>
  <c r="BK6" i="8"/>
  <c r="BL6" i="8" s="1"/>
  <c r="BG6" i="8"/>
  <c r="BH6" i="8" s="1"/>
  <c r="BC6" i="8"/>
  <c r="BD6" i="8" s="1"/>
  <c r="AY6" i="8"/>
  <c r="AZ6" i="8" s="1"/>
  <c r="AU6" i="8"/>
  <c r="AV6" i="8" s="1"/>
  <c r="AQ6" i="8"/>
  <c r="AR6" i="8" s="1"/>
  <c r="AM6" i="8"/>
  <c r="AN6" i="8" s="1"/>
  <c r="AI6" i="8"/>
  <c r="AJ6" i="8" s="1"/>
  <c r="AE6" i="8"/>
  <c r="AF6" i="8" s="1"/>
  <c r="AA6" i="8"/>
  <c r="AB6" i="8" s="1"/>
  <c r="CB5" i="8"/>
  <c r="CA5" i="8"/>
  <c r="BS5" i="8"/>
  <c r="BT5" i="8" s="1"/>
  <c r="BO5" i="8"/>
  <c r="BP5" i="8" s="1"/>
  <c r="BK5" i="8"/>
  <c r="BL5" i="8" s="1"/>
  <c r="BG5" i="8"/>
  <c r="BH5" i="8" s="1"/>
  <c r="BC5" i="8"/>
  <c r="BD5" i="8" s="1"/>
  <c r="AY5" i="8"/>
  <c r="AZ5" i="8" s="1"/>
  <c r="AU5" i="8"/>
  <c r="AV5" i="8" s="1"/>
  <c r="AQ5" i="8"/>
  <c r="AR5" i="8" s="1"/>
  <c r="AM5" i="8"/>
  <c r="AN5" i="8" s="1"/>
  <c r="AI5" i="8"/>
  <c r="AJ5" i="8" s="1"/>
  <c r="AE5" i="8"/>
  <c r="AF5" i="8" s="1"/>
  <c r="AA5" i="8"/>
  <c r="AB5" i="8" s="1"/>
  <c r="CB4" i="8"/>
  <c r="CA4" i="8"/>
  <c r="BS4" i="8"/>
  <c r="BT4" i="8" s="1"/>
  <c r="BO4" i="8"/>
  <c r="BP4" i="8" s="1"/>
  <c r="BK4" i="8"/>
  <c r="BL4" i="8" s="1"/>
  <c r="BG4" i="8"/>
  <c r="BH4" i="8" s="1"/>
  <c r="BC4" i="8"/>
  <c r="BD4" i="8" s="1"/>
  <c r="AY4" i="8"/>
  <c r="AZ4" i="8" s="1"/>
  <c r="AU4" i="8"/>
  <c r="AV4" i="8" s="1"/>
  <c r="AQ4" i="8"/>
  <c r="AR4" i="8" s="1"/>
  <c r="AM4" i="8"/>
  <c r="AN4" i="8" s="1"/>
  <c r="AI4" i="8"/>
  <c r="AJ4" i="8" s="1"/>
  <c r="AE4" i="8"/>
  <c r="AF4" i="8" s="1"/>
  <c r="AA4" i="8"/>
  <c r="AB4" i="8" s="1"/>
  <c r="CB3" i="8"/>
  <c r="CA3" i="8"/>
  <c r="BS3" i="8"/>
  <c r="BT3" i="8" s="1"/>
  <c r="BO3" i="8"/>
  <c r="BP3" i="8" s="1"/>
  <c r="BK3" i="8"/>
  <c r="BL3" i="8" s="1"/>
  <c r="BG3" i="8"/>
  <c r="BH3" i="8" s="1"/>
  <c r="BC3" i="8"/>
  <c r="BD3" i="8" s="1"/>
  <c r="AY3" i="8"/>
  <c r="AZ3" i="8" s="1"/>
  <c r="AU3" i="8"/>
  <c r="AV3" i="8" s="1"/>
  <c r="AQ3" i="8"/>
  <c r="AR3" i="8" s="1"/>
  <c r="AM3" i="8"/>
  <c r="AN3" i="8" s="1"/>
  <c r="AI3" i="8"/>
  <c r="AJ3" i="8" s="1"/>
  <c r="AE3" i="8"/>
  <c r="AF3" i="8" s="1"/>
  <c r="AA3" i="8"/>
  <c r="AB3" i="8" s="1"/>
  <c r="CB2" i="8"/>
  <c r="CA2" i="8"/>
  <c r="AC17" i="8" l="1"/>
  <c r="AD17" i="8" s="1"/>
  <c r="AC16" i="8"/>
  <c r="AD16" i="8" s="1"/>
  <c r="AG17" i="8"/>
  <c r="AH17" i="8" s="1"/>
  <c r="AG16" i="8"/>
  <c r="AH16" i="8" s="1"/>
  <c r="AK17" i="8"/>
  <c r="AL17" i="8" s="1"/>
  <c r="AK16" i="8"/>
  <c r="AL16" i="8" s="1"/>
  <c r="AO17" i="8"/>
  <c r="AP17" i="8" s="1"/>
  <c r="AO16" i="8"/>
  <c r="AP16" i="8" s="1"/>
  <c r="AS17" i="8"/>
  <c r="AT17" i="8" s="1"/>
  <c r="AS16" i="8"/>
  <c r="AT16" i="8" s="1"/>
  <c r="AW17" i="8"/>
  <c r="AX17" i="8" s="1"/>
  <c r="AW16" i="8"/>
  <c r="AX16" i="8" s="1"/>
  <c r="BA17" i="8"/>
  <c r="BB17" i="8" s="1"/>
  <c r="BA16" i="8"/>
  <c r="BB16" i="8" s="1"/>
  <c r="BE17" i="8"/>
  <c r="BF17" i="8" s="1"/>
  <c r="BE16" i="8"/>
  <c r="BF16" i="8" s="1"/>
  <c r="BI17" i="8"/>
  <c r="BJ17" i="8" s="1"/>
  <c r="BI16" i="8"/>
  <c r="BJ16" i="8" s="1"/>
  <c r="BM17" i="8"/>
  <c r="BN17" i="8" s="1"/>
  <c r="BM16" i="8"/>
  <c r="BN16" i="8" s="1"/>
  <c r="BQ17" i="8"/>
  <c r="BR17" i="8" s="1"/>
  <c r="BQ16" i="8"/>
  <c r="BR16" i="8" s="1"/>
  <c r="BU17" i="8"/>
  <c r="BV17" i="8" s="1"/>
  <c r="BU16" i="8"/>
  <c r="BV16" i="8" s="1"/>
  <c r="AC11" i="8"/>
  <c r="AD11" i="8" s="1"/>
  <c r="AC3" i="8"/>
  <c r="AD3" i="8" s="1"/>
  <c r="AG3" i="8"/>
  <c r="AH3" i="8" s="1"/>
  <c r="AK3" i="8"/>
  <c r="AL3" i="8" s="1"/>
  <c r="AO3" i="8"/>
  <c r="AP3" i="8" s="1"/>
  <c r="AS3" i="8"/>
  <c r="AT3" i="8" s="1"/>
  <c r="AW3" i="8"/>
  <c r="AX3" i="8" s="1"/>
  <c r="BA3" i="8"/>
  <c r="BB3" i="8" s="1"/>
  <c r="BE3" i="8"/>
  <c r="BF3" i="8" s="1"/>
  <c r="BI3" i="8"/>
  <c r="BJ3" i="8" s="1"/>
  <c r="BM3" i="8"/>
  <c r="BN3" i="8" s="1"/>
  <c r="BQ3" i="8"/>
  <c r="BR3" i="8" s="1"/>
  <c r="BU3" i="8"/>
  <c r="BV3" i="8" s="1"/>
  <c r="AC5" i="8"/>
  <c r="AD5" i="8" s="1"/>
  <c r="AG5" i="8"/>
  <c r="AH5" i="8" s="1"/>
  <c r="AK5" i="8"/>
  <c r="AL5" i="8" s="1"/>
  <c r="AO5" i="8"/>
  <c r="AP5" i="8" s="1"/>
  <c r="AS5" i="8"/>
  <c r="AT5" i="8" s="1"/>
  <c r="AW5" i="8"/>
  <c r="AX5" i="8" s="1"/>
  <c r="BA5" i="8"/>
  <c r="BB5" i="8" s="1"/>
  <c r="BE5" i="8"/>
  <c r="BF5" i="8" s="1"/>
  <c r="BI5" i="8"/>
  <c r="BJ5" i="8" s="1"/>
  <c r="BM5" i="8"/>
  <c r="BN5" i="8" s="1"/>
  <c r="BQ5" i="8"/>
  <c r="BR5" i="8" s="1"/>
  <c r="BU5" i="8"/>
  <c r="BV5" i="8" s="1"/>
  <c r="AC7" i="8"/>
  <c r="AD7" i="8" s="1"/>
  <c r="AG7" i="8"/>
  <c r="AH7" i="8" s="1"/>
  <c r="AK7" i="8"/>
  <c r="AL7" i="8" s="1"/>
  <c r="AO7" i="8"/>
  <c r="AP7" i="8" s="1"/>
  <c r="AS7" i="8"/>
  <c r="AT7" i="8" s="1"/>
  <c r="AW7" i="8"/>
  <c r="AX7" i="8" s="1"/>
  <c r="BA7" i="8"/>
  <c r="BB7" i="8" s="1"/>
  <c r="BE7" i="8"/>
  <c r="BF7" i="8" s="1"/>
  <c r="BI7" i="8"/>
  <c r="BJ7" i="8" s="1"/>
  <c r="BM7" i="8"/>
  <c r="BN7" i="8" s="1"/>
  <c r="BQ7" i="8"/>
  <c r="BR7" i="8" s="1"/>
  <c r="BU7" i="8"/>
  <c r="BV7" i="8" s="1"/>
  <c r="AC9" i="8"/>
  <c r="AD9" i="8" s="1"/>
  <c r="AG9" i="8"/>
  <c r="AH9" i="8" s="1"/>
  <c r="AK9" i="8"/>
  <c r="AL9" i="8" s="1"/>
  <c r="AO9" i="8"/>
  <c r="AP9" i="8" s="1"/>
  <c r="AS9" i="8"/>
  <c r="AT9" i="8" s="1"/>
  <c r="AW9" i="8"/>
  <c r="AX9" i="8" s="1"/>
  <c r="BA9" i="8"/>
  <c r="BB9" i="8" s="1"/>
  <c r="BE9" i="8"/>
  <c r="BF9" i="8" s="1"/>
  <c r="BI9" i="8"/>
  <c r="BJ9" i="8" s="1"/>
  <c r="BM9" i="8"/>
  <c r="BN9" i="8" s="1"/>
  <c r="BQ9" i="8"/>
  <c r="BR9" i="8" s="1"/>
  <c r="BU9" i="8"/>
  <c r="BV9" i="8" s="1"/>
  <c r="AO11" i="8"/>
  <c r="AP11" i="8" s="1"/>
  <c r="AW11" i="8"/>
  <c r="AX11" i="8" s="1"/>
  <c r="BE11" i="8"/>
  <c r="BF11" i="8" s="1"/>
  <c r="BM11" i="8"/>
  <c r="BN11" i="8" s="1"/>
  <c r="BU11" i="8"/>
  <c r="BV11" i="8" s="1"/>
  <c r="AC12" i="8"/>
  <c r="AD12" i="8" s="1"/>
  <c r="AK12" i="8"/>
  <c r="AL12" i="8" s="1"/>
  <c r="AS12" i="8"/>
  <c r="AT12" i="8" s="1"/>
  <c r="BA12" i="8"/>
  <c r="BB12" i="8" s="1"/>
  <c r="BI12" i="8"/>
  <c r="BJ12" i="8" s="1"/>
  <c r="BQ12" i="8"/>
  <c r="BR12" i="8" s="1"/>
  <c r="AG13" i="8"/>
  <c r="AH13" i="8" s="1"/>
  <c r="AO13" i="8"/>
  <c r="AP13" i="8" s="1"/>
  <c r="AW13" i="8"/>
  <c r="AX13" i="8" s="1"/>
  <c r="BE13" i="8"/>
  <c r="BF13" i="8" s="1"/>
  <c r="BM13" i="8"/>
  <c r="BN13" i="8" s="1"/>
  <c r="BU13" i="8"/>
  <c r="BV13" i="8" s="1"/>
  <c r="AC14" i="8"/>
  <c r="AD14" i="8" s="1"/>
  <c r="AK14" i="8"/>
  <c r="AL14" i="8" s="1"/>
  <c r="AS14" i="8"/>
  <c r="AT14" i="8" s="1"/>
  <c r="BA14" i="8"/>
  <c r="BB14" i="8" s="1"/>
  <c r="BI14" i="8"/>
  <c r="BJ14" i="8" s="1"/>
  <c r="BQ14" i="8"/>
  <c r="BR14" i="8" s="1"/>
  <c r="AG15" i="8"/>
  <c r="AH15" i="8" s="1"/>
  <c r="AO15" i="8"/>
  <c r="AP15" i="8" s="1"/>
  <c r="AW15" i="8"/>
  <c r="AX15" i="8" s="1"/>
  <c r="BE15" i="8"/>
  <c r="BF15" i="8" s="1"/>
  <c r="BM15" i="8"/>
  <c r="BN15" i="8" s="1"/>
  <c r="BU15" i="8"/>
  <c r="BV15" i="8" s="1"/>
  <c r="BU10" i="8"/>
  <c r="BV10" i="8" s="1"/>
  <c r="AK11" i="8"/>
  <c r="AL11" i="8" s="1"/>
  <c r="AC4" i="8"/>
  <c r="AD4" i="8" s="1"/>
  <c r="AG4" i="8"/>
  <c r="AH4" i="8" s="1"/>
  <c r="AK4" i="8"/>
  <c r="AL4" i="8" s="1"/>
  <c r="AO4" i="8"/>
  <c r="AP4" i="8" s="1"/>
  <c r="AS4" i="8"/>
  <c r="AT4" i="8" s="1"/>
  <c r="AW4" i="8"/>
  <c r="AX4" i="8" s="1"/>
  <c r="BA4" i="8"/>
  <c r="BB4" i="8" s="1"/>
  <c r="BE4" i="8"/>
  <c r="BF4" i="8" s="1"/>
  <c r="BI4" i="8"/>
  <c r="BJ4" i="8" s="1"/>
  <c r="BM4" i="8"/>
  <c r="BN4" i="8" s="1"/>
  <c r="BQ4" i="8"/>
  <c r="BR4" i="8" s="1"/>
  <c r="BU4" i="8"/>
  <c r="BV4" i="8" s="1"/>
  <c r="AC6" i="8"/>
  <c r="AD6" i="8" s="1"/>
  <c r="AG6" i="8"/>
  <c r="AH6" i="8" s="1"/>
  <c r="AK6" i="8"/>
  <c r="AL6" i="8" s="1"/>
  <c r="AO6" i="8"/>
  <c r="AP6" i="8" s="1"/>
  <c r="AS6" i="8"/>
  <c r="AT6" i="8" s="1"/>
  <c r="AW6" i="8"/>
  <c r="AX6" i="8" s="1"/>
  <c r="BA6" i="8"/>
  <c r="BB6" i="8" s="1"/>
  <c r="BE6" i="8"/>
  <c r="BF6" i="8" s="1"/>
  <c r="BI6" i="8"/>
  <c r="BJ6" i="8" s="1"/>
  <c r="BM6" i="8"/>
  <c r="BN6" i="8" s="1"/>
  <c r="BQ6" i="8"/>
  <c r="BR6" i="8" s="1"/>
  <c r="BU6" i="8"/>
  <c r="BV6" i="8" s="1"/>
  <c r="AC8" i="8"/>
  <c r="AD8" i="8" s="1"/>
  <c r="AG8" i="8"/>
  <c r="AH8" i="8" s="1"/>
  <c r="AK8" i="8"/>
  <c r="AL8" i="8" s="1"/>
  <c r="AO8" i="8"/>
  <c r="AP8" i="8" s="1"/>
  <c r="AS8" i="8"/>
  <c r="AT8" i="8" s="1"/>
  <c r="AW8" i="8"/>
  <c r="AX8" i="8" s="1"/>
  <c r="BA8" i="8"/>
  <c r="BB8" i="8" s="1"/>
  <c r="BE8" i="8"/>
  <c r="BF8" i="8" s="1"/>
  <c r="BI8" i="8"/>
  <c r="BJ8" i="8" s="1"/>
  <c r="BM8" i="8"/>
  <c r="BN8" i="8" s="1"/>
  <c r="BQ8" i="8"/>
  <c r="BR8" i="8" s="1"/>
  <c r="BU8" i="8"/>
  <c r="BV8" i="8" s="1"/>
  <c r="AC10" i="8"/>
  <c r="AD10" i="8" s="1"/>
  <c r="AG10" i="8"/>
  <c r="AH10" i="8" s="1"/>
  <c r="AK10" i="8"/>
  <c r="AL10" i="8" s="1"/>
  <c r="AO10" i="8"/>
  <c r="AP10" i="8" s="1"/>
  <c r="AS10" i="8"/>
  <c r="AT10" i="8" s="1"/>
  <c r="AW10" i="8"/>
  <c r="AX10" i="8" s="1"/>
  <c r="BA10" i="8"/>
  <c r="BB10" i="8" s="1"/>
  <c r="BE10" i="8"/>
  <c r="BF10" i="8" s="1"/>
  <c r="BI10" i="8"/>
  <c r="BJ10" i="8" s="1"/>
  <c r="BM10" i="8"/>
  <c r="BN10" i="8" s="1"/>
  <c r="BQ10" i="8"/>
  <c r="BR10" i="8" s="1"/>
  <c r="AG11" i="8"/>
  <c r="AH11" i="8" s="1"/>
  <c r="AS11" i="8"/>
  <c r="AT11" i="8" s="1"/>
  <c r="BA11" i="8"/>
  <c r="BB11" i="8" s="1"/>
  <c r="BI11" i="8"/>
  <c r="BJ11" i="8" s="1"/>
  <c r="BQ11" i="8"/>
  <c r="BR11" i="8" s="1"/>
  <c r="AG12" i="8"/>
  <c r="AH12" i="8" s="1"/>
  <c r="AO12" i="8"/>
  <c r="AP12" i="8" s="1"/>
  <c r="AW12" i="8"/>
  <c r="AX12" i="8" s="1"/>
  <c r="BE12" i="8"/>
  <c r="BF12" i="8" s="1"/>
  <c r="BM12" i="8"/>
  <c r="BN12" i="8" s="1"/>
  <c r="BU12" i="8"/>
  <c r="BV12" i="8" s="1"/>
  <c r="AC13" i="8"/>
  <c r="AD13" i="8" s="1"/>
  <c r="AK13" i="8"/>
  <c r="AL13" i="8" s="1"/>
  <c r="AS13" i="8"/>
  <c r="AT13" i="8" s="1"/>
  <c r="BA13" i="8"/>
  <c r="BB13" i="8" s="1"/>
  <c r="BI13" i="8"/>
  <c r="BJ13" i="8" s="1"/>
  <c r="BQ13" i="8"/>
  <c r="BR13" i="8" s="1"/>
  <c r="AG14" i="8"/>
  <c r="AH14" i="8" s="1"/>
  <c r="AO14" i="8"/>
  <c r="AP14" i="8" s="1"/>
  <c r="AW14" i="8"/>
  <c r="AX14" i="8" s="1"/>
  <c r="BE14" i="8"/>
  <c r="BF14" i="8" s="1"/>
  <c r="BM14" i="8"/>
  <c r="BN14" i="8" s="1"/>
  <c r="BU14" i="8"/>
  <c r="BV14" i="8" s="1"/>
  <c r="AC15" i="8"/>
  <c r="AD15" i="8" s="1"/>
  <c r="AK15" i="8"/>
  <c r="AL15" i="8" s="1"/>
  <c r="AS15" i="8"/>
  <c r="AT15" i="8" s="1"/>
  <c r="BA15" i="8"/>
  <c r="BB15" i="8" s="1"/>
  <c r="BI15" i="8"/>
  <c r="BJ15" i="8" s="1"/>
  <c r="BQ15" i="8"/>
  <c r="BR15" i="8" s="1"/>
  <c r="A23" i="4" l="1"/>
  <c r="A24" i="4"/>
  <c r="B1" i="5" l="1"/>
  <c r="B2" i="5"/>
  <c r="B3" i="5"/>
  <c r="B4" i="5"/>
  <c r="B5" i="5"/>
  <c r="B6" i="5"/>
  <c r="B7" i="5"/>
  <c r="B8" i="5"/>
  <c r="D2" i="5" l="1"/>
  <c r="D4" i="5"/>
  <c r="D5" i="5"/>
  <c r="D6" i="5"/>
  <c r="D8" i="5"/>
  <c r="D1" i="5"/>
  <c r="C2" i="5"/>
  <c r="C3" i="5"/>
  <c r="D3" i="5" s="1"/>
  <c r="C4" i="5"/>
  <c r="C5" i="5"/>
  <c r="C6" i="5"/>
  <c r="C7" i="5"/>
  <c r="D7" i="5" s="1"/>
  <c r="C8" i="5"/>
  <c r="C1" i="5"/>
  <c r="E2" i="5" l="1"/>
  <c r="E3" i="5"/>
  <c r="E4" i="5"/>
  <c r="E5" i="5"/>
  <c r="E6" i="5"/>
  <c r="E7" i="5"/>
  <c r="E8" i="5"/>
  <c r="E10" i="5"/>
  <c r="E11" i="5"/>
  <c r="E12" i="5"/>
  <c r="E13" i="5"/>
  <c r="E14" i="5"/>
  <c r="E15" i="5"/>
  <c r="E16" i="5"/>
  <c r="E17" i="5"/>
  <c r="E18" i="5"/>
  <c r="E19" i="5"/>
  <c r="E20" i="5"/>
  <c r="D10" i="5"/>
  <c r="D11" i="5"/>
  <c r="D12" i="5"/>
  <c r="D13" i="5"/>
  <c r="D14" i="5"/>
  <c r="D15" i="5"/>
  <c r="D16" i="5"/>
  <c r="D17" i="5"/>
  <c r="D18" i="5"/>
  <c r="D19" i="5"/>
  <c r="D20" i="5"/>
  <c r="C10" i="5"/>
  <c r="C11" i="5"/>
  <c r="C12" i="5"/>
  <c r="C13" i="5"/>
  <c r="C14" i="5"/>
  <c r="C15" i="5"/>
  <c r="C16" i="5"/>
  <c r="C17" i="5"/>
  <c r="C18" i="5"/>
  <c r="C19" i="5"/>
  <c r="C20" i="5"/>
  <c r="E1" i="5"/>
  <c r="B10" i="5"/>
  <c r="B11" i="5"/>
  <c r="B12" i="5"/>
  <c r="B13" i="5"/>
  <c r="B14" i="5"/>
  <c r="B15" i="5"/>
  <c r="B16" i="5"/>
  <c r="B17" i="5"/>
  <c r="B18" i="5"/>
  <c r="B19" i="5"/>
  <c r="B20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" i="5"/>
  <c r="A1" i="5"/>
  <c r="G12" i="4"/>
  <c r="G13" i="4"/>
  <c r="G14" i="4"/>
  <c r="G15" i="4"/>
  <c r="G16" i="4"/>
  <c r="G17" i="4"/>
  <c r="G18" i="4"/>
  <c r="G19" i="4"/>
  <c r="G20" i="4"/>
  <c r="G21" i="4"/>
  <c r="G11" i="4"/>
  <c r="F12" i="4"/>
  <c r="F13" i="4"/>
  <c r="F14" i="4"/>
  <c r="F15" i="4"/>
  <c r="F16" i="4"/>
  <c r="F17" i="4"/>
  <c r="F18" i="4"/>
  <c r="F19" i="4"/>
  <c r="F20" i="4"/>
  <c r="F21" i="4"/>
  <c r="F11" i="4"/>
  <c r="V33" i="4" s="1"/>
  <c r="V25" i="4"/>
  <c r="V26" i="4"/>
  <c r="V27" i="4"/>
  <c r="V28" i="4"/>
  <c r="V29" i="4"/>
  <c r="V30" i="4"/>
  <c r="V31" i="4"/>
  <c r="V32" i="4"/>
  <c r="V34" i="4"/>
  <c r="V35" i="4"/>
  <c r="V36" i="4"/>
  <c r="V37" i="4"/>
  <c r="V38" i="4"/>
  <c r="V39" i="4"/>
  <c r="V40" i="4"/>
  <c r="V41" i="4"/>
  <c r="V42" i="4"/>
  <c r="V43" i="4"/>
  <c r="U25" i="4"/>
  <c r="U26" i="4"/>
  <c r="U27" i="4"/>
  <c r="U28" i="4"/>
  <c r="U29" i="4"/>
  <c r="U30" i="4"/>
  <c r="U31" i="4"/>
  <c r="U32" i="4"/>
  <c r="U34" i="4"/>
  <c r="U35" i="4"/>
  <c r="U36" i="4"/>
  <c r="U37" i="4"/>
  <c r="U38" i="4"/>
  <c r="U39" i="4"/>
  <c r="U40" i="4"/>
  <c r="U41" i="4"/>
  <c r="U42" i="4"/>
  <c r="U43" i="4"/>
  <c r="T25" i="4"/>
  <c r="T26" i="4"/>
  <c r="T27" i="4"/>
  <c r="T28" i="4"/>
  <c r="T29" i="4"/>
  <c r="T30" i="4"/>
  <c r="T31" i="4"/>
  <c r="T32" i="4"/>
  <c r="T34" i="4"/>
  <c r="T35" i="4"/>
  <c r="T36" i="4"/>
  <c r="T37" i="4"/>
  <c r="T38" i="4"/>
  <c r="T39" i="4"/>
  <c r="T40" i="4"/>
  <c r="T41" i="4"/>
  <c r="T42" i="4"/>
  <c r="T43" i="4"/>
  <c r="S25" i="4"/>
  <c r="S26" i="4"/>
  <c r="S27" i="4"/>
  <c r="S28" i="4"/>
  <c r="S29" i="4"/>
  <c r="S30" i="4"/>
  <c r="S31" i="4"/>
  <c r="S32" i="4"/>
  <c r="S34" i="4"/>
  <c r="S35" i="4"/>
  <c r="S36" i="4"/>
  <c r="S37" i="4"/>
  <c r="S38" i="4"/>
  <c r="S39" i="4"/>
  <c r="S40" i="4"/>
  <c r="S41" i="4"/>
  <c r="S42" i="4"/>
  <c r="S43" i="4"/>
  <c r="R25" i="4"/>
  <c r="R26" i="4"/>
  <c r="R27" i="4"/>
  <c r="R28" i="4"/>
  <c r="R29" i="4"/>
  <c r="R30" i="4"/>
  <c r="R31" i="4"/>
  <c r="R32" i="4"/>
  <c r="R34" i="4"/>
  <c r="R35" i="4"/>
  <c r="R36" i="4"/>
  <c r="R37" i="4"/>
  <c r="R38" i="4"/>
  <c r="R39" i="4"/>
  <c r="R40" i="4"/>
  <c r="R41" i="4"/>
  <c r="R42" i="4"/>
  <c r="R43" i="4"/>
  <c r="Q25" i="4"/>
  <c r="Q26" i="4"/>
  <c r="Q27" i="4"/>
  <c r="Q28" i="4"/>
  <c r="Q29" i="4"/>
  <c r="Q30" i="4"/>
  <c r="Q31" i="4"/>
  <c r="Q32" i="4"/>
  <c r="Q34" i="4"/>
  <c r="Q35" i="4"/>
  <c r="Q36" i="4"/>
  <c r="Q37" i="4"/>
  <c r="Q38" i="4"/>
  <c r="Q39" i="4"/>
  <c r="Q40" i="4"/>
  <c r="Q41" i="4"/>
  <c r="Q42" i="4"/>
  <c r="Q43" i="4"/>
  <c r="P25" i="4"/>
  <c r="P26" i="4"/>
  <c r="P27" i="4"/>
  <c r="P28" i="4"/>
  <c r="P29" i="4"/>
  <c r="P30" i="4"/>
  <c r="P31" i="4"/>
  <c r="P32" i="4"/>
  <c r="P34" i="4"/>
  <c r="P35" i="4"/>
  <c r="P36" i="4"/>
  <c r="P37" i="4"/>
  <c r="P38" i="4"/>
  <c r="P39" i="4"/>
  <c r="P40" i="4"/>
  <c r="P41" i="4"/>
  <c r="P42" i="4"/>
  <c r="P43" i="4"/>
  <c r="O25" i="4"/>
  <c r="O26" i="4"/>
  <c r="O27" i="4"/>
  <c r="O28" i="4"/>
  <c r="O29" i="4"/>
  <c r="O30" i="4"/>
  <c r="O31" i="4"/>
  <c r="O32" i="4"/>
  <c r="O34" i="4"/>
  <c r="O35" i="4"/>
  <c r="O36" i="4"/>
  <c r="O37" i="4"/>
  <c r="O38" i="4"/>
  <c r="O39" i="4"/>
  <c r="O40" i="4"/>
  <c r="O41" i="4"/>
  <c r="O42" i="4"/>
  <c r="O43" i="4"/>
  <c r="N25" i="4"/>
  <c r="N26" i="4"/>
  <c r="N27" i="4"/>
  <c r="N28" i="4"/>
  <c r="N29" i="4"/>
  <c r="N30" i="4"/>
  <c r="N31" i="4"/>
  <c r="N32" i="4"/>
  <c r="N34" i="4"/>
  <c r="N35" i="4"/>
  <c r="N36" i="4"/>
  <c r="N37" i="4"/>
  <c r="N38" i="4"/>
  <c r="N39" i="4"/>
  <c r="N40" i="4"/>
  <c r="N41" i="4"/>
  <c r="N42" i="4"/>
  <c r="N43" i="4"/>
  <c r="M25" i="4"/>
  <c r="M26" i="4"/>
  <c r="M27" i="4"/>
  <c r="M28" i="4"/>
  <c r="M29" i="4"/>
  <c r="M30" i="4"/>
  <c r="M31" i="4"/>
  <c r="M32" i="4"/>
  <c r="M34" i="4"/>
  <c r="M35" i="4"/>
  <c r="M36" i="4"/>
  <c r="M37" i="4"/>
  <c r="M38" i="4"/>
  <c r="M39" i="4"/>
  <c r="M40" i="4"/>
  <c r="M41" i="4"/>
  <c r="M42" i="4"/>
  <c r="M43" i="4"/>
  <c r="L25" i="4"/>
  <c r="L26" i="4"/>
  <c r="L27" i="4"/>
  <c r="L28" i="4"/>
  <c r="L29" i="4"/>
  <c r="L30" i="4"/>
  <c r="L31" i="4"/>
  <c r="L32" i="4"/>
  <c r="L34" i="4"/>
  <c r="L35" i="4"/>
  <c r="L36" i="4"/>
  <c r="L37" i="4"/>
  <c r="L38" i="4"/>
  <c r="L39" i="4"/>
  <c r="L40" i="4"/>
  <c r="L41" i="4"/>
  <c r="L42" i="4"/>
  <c r="L43" i="4"/>
  <c r="L24" i="4"/>
  <c r="M24" i="4"/>
  <c r="N24" i="4"/>
  <c r="O24" i="4"/>
  <c r="P24" i="4"/>
  <c r="Q24" i="4"/>
  <c r="R24" i="4"/>
  <c r="S24" i="4"/>
  <c r="T24" i="4"/>
  <c r="U24" i="4"/>
  <c r="V24" i="4"/>
  <c r="K25" i="4"/>
  <c r="K26" i="4"/>
  <c r="K27" i="4"/>
  <c r="K28" i="4"/>
  <c r="K29" i="4"/>
  <c r="K30" i="4"/>
  <c r="K31" i="4"/>
  <c r="K32" i="4"/>
  <c r="K34" i="4"/>
  <c r="K35" i="4"/>
  <c r="K36" i="4"/>
  <c r="K37" i="4"/>
  <c r="K38" i="4"/>
  <c r="K39" i="4"/>
  <c r="K40" i="4"/>
  <c r="K41" i="4"/>
  <c r="K42" i="4"/>
  <c r="K43" i="4"/>
  <c r="K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24" i="4"/>
  <c r="U33" i="4" l="1"/>
  <c r="Q33" i="4"/>
  <c r="T33" i="4"/>
  <c r="M33" i="4"/>
  <c r="P33" i="4"/>
  <c r="S33" i="4"/>
  <c r="L33" i="4"/>
  <c r="O33" i="4"/>
  <c r="K33" i="4"/>
  <c r="N33" i="4"/>
  <c r="R33" i="4"/>
  <c r="T3" i="4"/>
  <c r="T4" i="4"/>
  <c r="T5" i="4"/>
  <c r="T6" i="4"/>
  <c r="T7" i="4"/>
  <c r="T8" i="4"/>
  <c r="T9" i="4"/>
  <c r="T13" i="4"/>
  <c r="T14" i="4"/>
  <c r="T15" i="4"/>
  <c r="T16" i="4"/>
  <c r="T17" i="4"/>
  <c r="T18" i="4"/>
  <c r="T19" i="4"/>
  <c r="T20" i="4"/>
  <c r="T21" i="4"/>
  <c r="T2" i="4"/>
  <c r="S3" i="4"/>
  <c r="S4" i="4"/>
  <c r="S5" i="4"/>
  <c r="S6" i="4"/>
  <c r="S7" i="4"/>
  <c r="S8" i="4"/>
  <c r="S9" i="4"/>
  <c r="S13" i="4"/>
  <c r="S14" i="4"/>
  <c r="S15" i="4"/>
  <c r="S16" i="4"/>
  <c r="S17" i="4"/>
  <c r="S18" i="4"/>
  <c r="S19" i="4"/>
  <c r="S20" i="4"/>
  <c r="S21" i="4"/>
  <c r="S2" i="4"/>
  <c r="R3" i="4"/>
  <c r="R4" i="4"/>
  <c r="R5" i="4"/>
  <c r="R6" i="4"/>
  <c r="R7" i="4"/>
  <c r="R8" i="4"/>
  <c r="R9" i="4"/>
  <c r="R13" i="4"/>
  <c r="R14" i="4"/>
  <c r="R15" i="4"/>
  <c r="R16" i="4"/>
  <c r="R17" i="4"/>
  <c r="R18" i="4"/>
  <c r="R19" i="4"/>
  <c r="R20" i="4"/>
  <c r="R21" i="4"/>
  <c r="R2" i="4"/>
  <c r="Q3" i="4"/>
  <c r="Q4" i="4"/>
  <c r="Q5" i="4"/>
  <c r="Q6" i="4"/>
  <c r="Q7" i="4"/>
  <c r="Q8" i="4"/>
  <c r="Q9" i="4"/>
  <c r="Q13" i="4"/>
  <c r="Q14" i="4"/>
  <c r="Q15" i="4"/>
  <c r="Q16" i="4"/>
  <c r="Q17" i="4"/>
  <c r="Q18" i="4"/>
  <c r="Q19" i="4"/>
  <c r="Q20" i="4"/>
  <c r="Q21" i="4"/>
  <c r="Q2" i="4"/>
  <c r="K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P5" i="4"/>
  <c r="P4" i="4"/>
  <c r="P3" i="4"/>
  <c r="P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" i="4"/>
  <c r="N3" i="4"/>
  <c r="N4" i="4"/>
  <c r="N5" i="4"/>
  <c r="N6" i="4"/>
  <c r="N7" i="4"/>
  <c r="N8" i="4"/>
  <c r="N9" i="4"/>
  <c r="N13" i="4"/>
  <c r="N14" i="4"/>
  <c r="N15" i="4"/>
  <c r="N16" i="4"/>
  <c r="N17" i="4"/>
  <c r="N18" i="4"/>
  <c r="N19" i="4"/>
  <c r="N20" i="4"/>
  <c r="N21" i="4"/>
  <c r="N2" i="4"/>
  <c r="M3" i="4"/>
  <c r="M4" i="4"/>
  <c r="M5" i="4"/>
  <c r="M6" i="4"/>
  <c r="M7" i="4"/>
  <c r="M8" i="4"/>
  <c r="M9" i="4"/>
  <c r="M13" i="4"/>
  <c r="M14" i="4"/>
  <c r="M15" i="4"/>
  <c r="M16" i="4"/>
  <c r="M17" i="4"/>
  <c r="M18" i="4"/>
  <c r="M19" i="4"/>
  <c r="M20" i="4"/>
  <c r="M21" i="4"/>
  <c r="M2" i="4"/>
  <c r="L3" i="4"/>
  <c r="L4" i="4"/>
  <c r="L5" i="4"/>
  <c r="L6" i="4"/>
  <c r="L7" i="4"/>
  <c r="L8" i="4"/>
  <c r="L9" i="4"/>
  <c r="L13" i="4"/>
  <c r="L14" i="4"/>
  <c r="L15" i="4"/>
  <c r="L16" i="4"/>
  <c r="L17" i="4"/>
  <c r="L18" i="4"/>
  <c r="L19" i="4"/>
  <c r="L20" i="4"/>
  <c r="L21" i="4"/>
  <c r="L2" i="4"/>
  <c r="K3" i="4"/>
  <c r="K4" i="4"/>
  <c r="K5" i="4"/>
  <c r="K6" i="4"/>
  <c r="K7" i="4"/>
  <c r="K8" i="4"/>
  <c r="K9" i="4"/>
  <c r="K13" i="4"/>
  <c r="K14" i="4"/>
  <c r="K15" i="4"/>
  <c r="K16" i="4"/>
  <c r="K17" i="4"/>
  <c r="K18" i="4"/>
  <c r="K19" i="4"/>
  <c r="K20" i="4"/>
  <c r="K21" i="4"/>
  <c r="E9" i="4"/>
  <c r="E10" i="4"/>
  <c r="S10" i="4" s="1"/>
  <c r="E11" i="4"/>
  <c r="T11" i="4" s="1"/>
  <c r="E12" i="4"/>
  <c r="R12" i="4" s="1"/>
  <c r="E13" i="4"/>
  <c r="E14" i="4"/>
  <c r="E15" i="4"/>
  <c r="E16" i="4"/>
  <c r="E17" i="4"/>
  <c r="E18" i="4"/>
  <c r="E19" i="4"/>
  <c r="E20" i="4"/>
  <c r="E21" i="4"/>
  <c r="D3" i="4"/>
  <c r="D4" i="4"/>
  <c r="D6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N10" i="4"/>
  <c r="C11" i="4"/>
  <c r="N11" i="4" s="1"/>
  <c r="C12" i="4"/>
  <c r="L12" i="4" s="1"/>
  <c r="C13" i="4"/>
  <c r="C14" i="4"/>
  <c r="C15" i="4"/>
  <c r="C16" i="4"/>
  <c r="C17" i="4"/>
  <c r="C18" i="4"/>
  <c r="C19" i="4"/>
  <c r="C20" i="4"/>
  <c r="C21" i="4"/>
  <c r="B3" i="4"/>
  <c r="B11" i="4"/>
  <c r="B12" i="4"/>
  <c r="B13" i="4"/>
  <c r="B14" i="4"/>
  <c r="B15" i="4"/>
  <c r="B16" i="4"/>
  <c r="B17" i="4"/>
  <c r="B18" i="4"/>
  <c r="B19" i="4"/>
  <c r="B20" i="4"/>
  <c r="B21" i="4"/>
  <c r="B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" i="4"/>
  <c r="R10" i="4" l="1"/>
  <c r="T10" i="4"/>
  <c r="K10" i="4"/>
  <c r="M10" i="4"/>
  <c r="Q10" i="4"/>
  <c r="L10" i="4"/>
  <c r="N12" i="4"/>
  <c r="Q12" i="4"/>
  <c r="K12" i="4"/>
  <c r="M12" i="4"/>
  <c r="T12" i="4"/>
  <c r="S12" i="4"/>
  <c r="Q11" i="4"/>
  <c r="R11" i="4"/>
  <c r="S11" i="4"/>
  <c r="K11" i="4"/>
  <c r="L11" i="4"/>
  <c r="M11" i="4"/>
  <c r="B9" i="5" l="1"/>
  <c r="E9" i="5"/>
  <c r="C9" i="5"/>
  <c r="D9" i="5" s="1"/>
</calcChain>
</file>

<file path=xl/sharedStrings.xml><?xml version="1.0" encoding="utf-8"?>
<sst xmlns="http://schemas.openxmlformats.org/spreadsheetml/2006/main" count="287" uniqueCount="79">
  <si>
    <t>Staff</t>
  </si>
  <si>
    <t>Zone</t>
  </si>
  <si>
    <t>A</t>
  </si>
  <si>
    <t>B</t>
  </si>
  <si>
    <t>C</t>
  </si>
  <si>
    <t>D</t>
  </si>
  <si>
    <t>6-7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</si>
  <si>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</si>
  <si>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</si>
  <si>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</si>
  <si>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</si>
  <si>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</si>
  <si>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</si>
  <si>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</si>
  <si>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</si>
  <si>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</si>
  <si>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</si>
  <si>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5-6</t>
  </si>
  <si>
    <t>WTA</t>
  </si>
  <si>
    <t>Breaks</t>
  </si>
  <si>
    <t>Dale</t>
  </si>
  <si>
    <t>Margaret</t>
  </si>
  <si>
    <t>Mason</t>
  </si>
  <si>
    <t>Mike</t>
  </si>
  <si>
    <t>Daniel</t>
  </si>
  <si>
    <t>Noel</t>
  </si>
  <si>
    <t>Cheryl</t>
  </si>
  <si>
    <t>Ali</t>
  </si>
  <si>
    <t>Member List</t>
  </si>
  <si>
    <t>Helper 1</t>
  </si>
  <si>
    <t>Helper 2</t>
  </si>
  <si>
    <t>Helper 3</t>
  </si>
  <si>
    <t>Name</t>
  </si>
  <si>
    <t>Certified Bays</t>
  </si>
  <si>
    <t>Current WTA Hours</t>
  </si>
  <si>
    <t>Default Break</t>
  </si>
  <si>
    <t>Alternative Breaks</t>
  </si>
  <si>
    <t>A,B</t>
  </si>
  <si>
    <t>Early</t>
  </si>
  <si>
    <t>A,D</t>
  </si>
  <si>
    <t>Middle,Late</t>
  </si>
  <si>
    <t>A,B,C,D</t>
  </si>
  <si>
    <t>Early,Middle,Late,Extra Late</t>
  </si>
  <si>
    <t>Late</t>
  </si>
  <si>
    <t>Middle,Late,Extra Late</t>
  </si>
  <si>
    <t>B,C</t>
  </si>
  <si>
    <t>Early,Middle</t>
  </si>
  <si>
    <t>Late,Extra Late</t>
  </si>
  <si>
    <t>Todd</t>
  </si>
  <si>
    <t>Middle</t>
  </si>
  <si>
    <t>Extra Late</t>
  </si>
  <si>
    <t>End Time</t>
  </si>
  <si>
    <t>Start Time</t>
  </si>
  <si>
    <t>A,B,C</t>
  </si>
  <si>
    <t>Current Bay</t>
  </si>
  <si>
    <t>1st Break</t>
  </si>
  <si>
    <t>2nd Break</t>
  </si>
  <si>
    <t>Bay</t>
  </si>
  <si>
    <t>Start</t>
  </si>
  <si>
    <t>End</t>
  </si>
  <si>
    <t>Position</t>
  </si>
  <si>
    <t>Open</t>
  </si>
  <si>
    <t>Row</t>
  </si>
  <si>
    <t>Break1</t>
  </si>
  <si>
    <t>Break2</t>
  </si>
  <si>
    <t>WTA 6-9</t>
  </si>
  <si>
    <t>WTA 9-12</t>
  </si>
  <si>
    <t>WTA 12-3</t>
  </si>
  <si>
    <t>WTA 3-6</t>
  </si>
  <si>
    <t>WTA Box Color</t>
  </si>
  <si>
    <t>&amp;HC0C0C0</t>
  </si>
  <si>
    <t>VBA Script</t>
  </si>
  <si>
    <t>Leo</t>
  </si>
  <si>
    <t>Raph</t>
  </si>
  <si>
    <t>Don</t>
  </si>
  <si>
    <t>Splinter</t>
  </si>
  <si>
    <t>Hamato</t>
  </si>
  <si>
    <t>April</t>
  </si>
  <si>
    <t>Casey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</si>
</sst>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8" tint="0.3999755851924192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rgb="FFDEB3FF"/>
      <name val="Calibri"/>
      <family val="2"/>
      <scheme val="minor"/>
    </font>
    <font>
      <b/>
      <u/>
      <sz val="11"/>
      <color rgb="FFC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EB3FF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4B084"/>
        <bgColor indexed="64"/>
      </patternFill>
    </fill>
  </fills>
  <borders count="77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1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theme="1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theme="1"/>
      </left>
      <right style="thin">
        <color theme="2" tint="-0.249977111117893"/>
      </right>
      <top style="thin">
        <color theme="2" tint="-0.249977111117893"/>
      </top>
      <bottom style="medium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1"/>
      </bottom>
      <diagonal/>
    </border>
    <border>
      <left style="thin">
        <color theme="2" tint="-0.249977111117893"/>
      </left>
      <right style="medium">
        <color theme="1"/>
      </right>
      <top style="thin">
        <color theme="2" tint="-0.249977111117893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0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theme="1"/>
      </right>
      <top/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medium">
        <color theme="1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1"/>
      </right>
      <top/>
      <bottom style="thin">
        <color theme="2" tint="-0.249977111117893"/>
      </bottom>
      <diagonal/>
    </border>
    <border>
      <left style="thin">
        <color theme="0"/>
      </left>
      <right/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2" tint="-9.9917600024414813E-2"/>
      </left>
      <right/>
      <top style="thin">
        <color theme="2" tint="-9.9917600024414813E-2"/>
      </top>
      <bottom style="thin">
        <color theme="2" tint="-9.9917600024414813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auto="1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2" tint="-9.9978637043366805E-2"/>
      </left>
      <right/>
      <top/>
      <bottom/>
      <diagonal/>
    </border>
    <border>
      <left/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medium">
        <color theme="1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2" tint="-9.9948118533890809E-2"/>
      </left>
      <right/>
      <top/>
      <bottom style="thin">
        <color theme="0"/>
      </bottom>
      <diagonal/>
    </border>
    <border>
      <left style="thin">
        <color theme="2" tint="-9.9948118533890809E-2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0" tint="-0.249977111117893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48118533890809E-2"/>
      </left>
      <right style="thin">
        <color theme="0" tint="-0.249977111117893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2" tint="-9.9978637043366805E-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medium">
        <color theme="1"/>
      </right>
      <top/>
      <bottom/>
      <diagonal/>
    </border>
    <border>
      <left style="thin">
        <color auto="1"/>
      </left>
      <right style="medium">
        <color theme="1"/>
      </right>
      <top/>
      <bottom style="thin">
        <color theme="0"/>
      </bottom>
      <diagonal/>
    </border>
    <border>
      <left style="thin">
        <color auto="1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0" borderId="0" xfId="0" applyBorder="1"/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4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3" xfId="0" applyFill="1" applyBorder="1"/>
    <xf numFmtId="0" fontId="0" fillId="5" borderId="4" xfId="0" applyFill="1" applyBorder="1"/>
    <xf numFmtId="0" fontId="0" fillId="5" borderId="3" xfId="0" applyFill="1" applyBorder="1"/>
    <xf numFmtId="0" fontId="0" fillId="8" borderId="0" xfId="0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2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0" xfId="0" applyBorder="1"/>
    <xf numFmtId="0" fontId="0" fillId="0" borderId="23" xfId="0" applyBorder="1"/>
    <xf numFmtId="0" fontId="0" fillId="0" borderId="24" xfId="0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0" fillId="0" borderId="28" xfId="0" applyBorder="1"/>
    <xf numFmtId="0" fontId="0" fillId="0" borderId="29" xfId="0" applyBorder="1"/>
    <xf numFmtId="0" fontId="0" fillId="6" borderId="24" xfId="0" applyFill="1" applyBorder="1"/>
    <xf numFmtId="0" fontId="0" fillId="7" borderId="24" xfId="0" applyFill="1" applyBorder="1"/>
    <xf numFmtId="0" fontId="2" fillId="9" borderId="24" xfId="0" applyFont="1" applyFill="1" applyBorder="1"/>
    <xf numFmtId="0" fontId="2" fillId="9" borderId="24" xfId="0" applyFont="1" applyFill="1" applyBorder="1" applyAlignment="1">
      <alignment horizontal="center"/>
    </xf>
    <xf numFmtId="0" fontId="0" fillId="9" borderId="24" xfId="0" applyFill="1" applyBorder="1"/>
    <xf numFmtId="164" fontId="0" fillId="6" borderId="24" xfId="0" applyNumberFormat="1" applyFill="1" applyBorder="1"/>
    <xf numFmtId="164" fontId="2" fillId="9" borderId="24" xfId="0" applyNumberFormat="1" applyFont="1" applyFill="1" applyBorder="1" applyAlignment="1">
      <alignment horizontal="center"/>
    </xf>
    <xf numFmtId="18" fontId="0" fillId="0" borderId="0" xfId="0" applyNumberFormat="1"/>
    <xf numFmtId="0" fontId="0" fillId="8" borderId="30" xfId="0" applyFill="1" applyBorder="1"/>
    <xf numFmtId="164" fontId="0" fillId="8" borderId="30" xfId="0" applyNumberFormat="1" applyFont="1" applyFill="1" applyBorder="1" applyAlignment="1">
      <alignment horizontal="center"/>
    </xf>
    <xf numFmtId="0" fontId="0" fillId="0" borderId="0" xfId="0" applyFont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3" fillId="11" borderId="9" xfId="0" applyFont="1" applyFill="1" applyBorder="1" applyAlignment="1">
      <alignment horizontal="center"/>
    </xf>
    <xf numFmtId="0" fontId="4" fillId="11" borderId="9" xfId="0" applyFont="1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3" fillId="11" borderId="34" xfId="0" applyFont="1" applyFill="1" applyBorder="1" applyAlignment="1">
      <alignment horizontal="center"/>
    </xf>
    <xf numFmtId="0" fontId="0" fillId="2" borderId="35" xfId="0" applyFill="1" applyBorder="1"/>
    <xf numFmtId="0" fontId="0" fillId="2" borderId="36" xfId="0" applyFill="1" applyBorder="1"/>
    <xf numFmtId="0" fontId="0" fillId="2" borderId="37" xfId="0" applyFill="1" applyBorder="1"/>
    <xf numFmtId="0" fontId="0" fillId="0" borderId="38" xfId="0" applyBorder="1"/>
    <xf numFmtId="0" fontId="0" fillId="0" borderId="39" xfId="0" applyBorder="1"/>
    <xf numFmtId="0" fontId="2" fillId="0" borderId="0" xfId="0" applyFont="1"/>
    <xf numFmtId="49" fontId="0" fillId="0" borderId="0" xfId="0" applyNumberFormat="1"/>
    <xf numFmtId="0" fontId="0" fillId="0" borderId="41" xfId="0" applyBorder="1"/>
    <xf numFmtId="164" fontId="0" fillId="0" borderId="0" xfId="0" applyNumberFormat="1"/>
    <xf numFmtId="0" fontId="0" fillId="0" borderId="45" xfId="0" applyBorder="1"/>
    <xf numFmtId="0" fontId="0" fillId="0" borderId="47" xfId="0" applyBorder="1"/>
    <xf numFmtId="0" fontId="0" fillId="0" borderId="48" xfId="0" applyBorder="1"/>
    <xf numFmtId="0" fontId="0" fillId="0" borderId="50" xfId="0" applyBorder="1"/>
    <xf numFmtId="0" fontId="0" fillId="0" borderId="51" xfId="0" applyBorder="1"/>
    <xf numFmtId="0" fontId="0" fillId="0" borderId="53" xfId="0" applyBorder="1"/>
    <xf numFmtId="0" fontId="0" fillId="0" borderId="52" xfId="0" applyBorder="1"/>
    <xf numFmtId="0" fontId="0" fillId="0" borderId="54" xfId="0" applyBorder="1"/>
    <xf numFmtId="0" fontId="0" fillId="0" borderId="55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0" borderId="63" xfId="0" applyBorder="1"/>
    <xf numFmtId="0" fontId="0" fillId="0" borderId="40" xfId="0" applyBorder="1"/>
    <xf numFmtId="0" fontId="0" fillId="0" borderId="65" xfId="0" applyBorder="1"/>
    <xf numFmtId="49" fontId="0" fillId="0" borderId="65" xfId="0" applyNumberFormat="1" applyBorder="1"/>
    <xf numFmtId="0" fontId="0" fillId="0" borderId="3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70" xfId="0" applyBorder="1"/>
    <xf numFmtId="18" fontId="0" fillId="0" borderId="66" xfId="0" applyNumberFormat="1" applyBorder="1"/>
    <xf numFmtId="18" fontId="0" fillId="0" borderId="17" xfId="0" applyNumberFormat="1" applyBorder="1"/>
    <xf numFmtId="19" fontId="0" fillId="8" borderId="0" xfId="0" applyNumberFormat="1" applyFill="1" applyBorder="1"/>
    <xf numFmtId="0" fontId="2" fillId="0" borderId="0" xfId="0" applyFont="1" applyAlignment="1">
      <alignment horizontal="center"/>
    </xf>
    <xf numFmtId="0" fontId="0" fillId="0" borderId="29" xfId="0" applyFont="1" applyBorder="1"/>
    <xf numFmtId="0" fontId="0" fillId="0" borderId="22" xfId="0" applyFill="1" applyBorder="1"/>
    <xf numFmtId="0" fontId="2" fillId="13" borderId="9" xfId="0" applyFont="1" applyFill="1" applyBorder="1" applyAlignment="1">
      <alignment horizontal="center"/>
    </xf>
    <xf numFmtId="49" fontId="9" fillId="13" borderId="31" xfId="0" applyNumberFormat="1" applyFont="1" applyFill="1" applyBorder="1" applyAlignment="1">
      <alignment horizontal="center"/>
    </xf>
    <xf numFmtId="49" fontId="9" fillId="13" borderId="32" xfId="0" applyNumberFormat="1" applyFont="1" applyFill="1" applyBorder="1" applyAlignment="1">
      <alignment horizontal="center"/>
    </xf>
    <xf numFmtId="49" fontId="9" fillId="13" borderId="33" xfId="0" applyNumberFormat="1" applyFont="1" applyFill="1" applyBorder="1" applyAlignment="1">
      <alignment horizontal="center"/>
    </xf>
    <xf numFmtId="0" fontId="9" fillId="13" borderId="46" xfId="0" applyFont="1" applyFill="1" applyBorder="1" applyAlignment="1">
      <alignment horizontal="center"/>
    </xf>
    <xf numFmtId="0" fontId="2" fillId="13" borderId="24" xfId="0" applyFont="1" applyFill="1" applyBorder="1"/>
    <xf numFmtId="0" fontId="2" fillId="13" borderId="24" xfId="0" applyFont="1" applyFill="1" applyBorder="1" applyAlignment="1">
      <alignment horizontal="center"/>
    </xf>
    <xf numFmtId="0" fontId="2" fillId="13" borderId="64" xfId="0" applyFont="1" applyFill="1" applyBorder="1" applyAlignment="1">
      <alignment horizontal="center"/>
    </xf>
    <xf numFmtId="0" fontId="2" fillId="13" borderId="71" xfId="0" applyFont="1" applyFill="1" applyBorder="1"/>
    <xf numFmtId="0" fontId="2" fillId="13" borderId="71" xfId="0" applyFont="1" applyFill="1" applyBorder="1" applyAlignment="1">
      <alignment horizontal="center"/>
    </xf>
    <xf numFmtId="0" fontId="0" fillId="12" borderId="16" xfId="0" applyFill="1" applyBorder="1"/>
    <xf numFmtId="0" fontId="0" fillId="12" borderId="8" xfId="0" applyFill="1" applyBorder="1"/>
    <xf numFmtId="19" fontId="0" fillId="12" borderId="16" xfId="0" applyNumberFormat="1" applyFill="1" applyBorder="1"/>
    <xf numFmtId="0" fontId="0" fillId="14" borderId="24" xfId="0" applyFill="1" applyBorder="1"/>
    <xf numFmtId="164" fontId="0" fillId="14" borderId="24" xfId="0" applyNumberFormat="1" applyFill="1" applyBorder="1"/>
    <xf numFmtId="18" fontId="0" fillId="14" borderId="24" xfId="0" applyNumberFormat="1" applyFill="1" applyBorder="1"/>
    <xf numFmtId="18" fontId="0" fillId="14" borderId="49" xfId="0" applyNumberFormat="1" applyFill="1" applyBorder="1"/>
    <xf numFmtId="18" fontId="0" fillId="14" borderId="1" xfId="0" applyNumberFormat="1" applyFill="1" applyBorder="1"/>
    <xf numFmtId="0" fontId="0" fillId="14" borderId="56" xfId="0" applyFill="1" applyBorder="1"/>
    <xf numFmtId="18" fontId="0" fillId="14" borderId="64" xfId="0" applyNumberFormat="1" applyFill="1" applyBorder="1"/>
    <xf numFmtId="18" fontId="0" fillId="14" borderId="25" xfId="0" applyNumberFormat="1" applyFill="1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0" fillId="0" borderId="75" xfId="0" applyBorder="1"/>
    <xf numFmtId="0" fontId="0" fillId="0" borderId="76" xfId="0" applyBorder="1"/>
    <xf numFmtId="0" fontId="0" fillId="15" borderId="24" xfId="0" applyFill="1" applyBorder="1"/>
    <xf numFmtId="164" fontId="0" fillId="15" borderId="24" xfId="0" applyNumberFormat="1" applyFill="1" applyBorder="1"/>
    <xf numFmtId="18" fontId="0" fillId="15" borderId="24" xfId="0" applyNumberFormat="1" applyFill="1" applyBorder="1"/>
    <xf numFmtId="0" fontId="0" fillId="16" borderId="24" xfId="0" applyFill="1" applyBorder="1"/>
    <xf numFmtId="164" fontId="0" fillId="16" borderId="24" xfId="0" applyNumberFormat="1" applyFill="1" applyBorder="1"/>
    <xf numFmtId="18" fontId="0" fillId="16" borderId="24" xfId="0" applyNumberFormat="1" applyFill="1" applyBorder="1"/>
    <xf numFmtId="0" fontId="0" fillId="17" borderId="24" xfId="0" applyFill="1" applyBorder="1"/>
    <xf numFmtId="164" fontId="0" fillId="17" borderId="24" xfId="0" applyNumberFormat="1" applyFill="1" applyBorder="1"/>
    <xf numFmtId="18" fontId="0" fillId="17" borderId="24" xfId="0" applyNumberFormat="1" applyFill="1" applyBorder="1"/>
    <xf numFmtId="0" fontId="0" fillId="18" borderId="24" xfId="0" applyFill="1" applyBorder="1"/>
    <xf numFmtId="164" fontId="0" fillId="18" borderId="24" xfId="0" applyNumberFormat="1" applyFill="1" applyBorder="1"/>
    <xf numFmtId="18" fontId="0" fillId="18" borderId="24" xfId="0" applyNumberFormat="1" applyFill="1" applyBorder="1"/>
    <xf numFmtId="0" fontId="2" fillId="0" borderId="0" xfId="0" applyFont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9" borderId="14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164" fontId="1" fillId="0" borderId="42" xfId="0" applyNumberFormat="1" applyFont="1" applyBorder="1" applyAlignment="1">
      <alignment horizontal="center"/>
    </xf>
    <xf numFmtId="164" fontId="1" fillId="0" borderId="43" xfId="0" applyNumberFormat="1" applyFont="1" applyBorder="1" applyAlignment="1">
      <alignment horizontal="center"/>
    </xf>
    <xf numFmtId="164" fontId="1" fillId="0" borderId="44" xfId="0" applyNumberFormat="1" applyFont="1" applyBorder="1" applyAlignment="1">
      <alignment horizontal="center"/>
    </xf>
  </cellXfs>
  <cellStyles count="1">
    <cellStyle name="Normal" xfId="0" builtinId="0"/>
  </cellStyles>
  <dxfs count="40"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ont>
        <b/>
        <i val="0"/>
        <color auto="1"/>
      </font>
      <fill>
        <patternFill>
          <bgColor rgb="FF0070C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EB3FF"/>
      <color rgb="FFB871FF"/>
      <color rgb="FFABFF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emf"/><Relationship Id="rId18" Type="http://schemas.openxmlformats.org/officeDocument/2006/relationships/image" Target="../media/image43.emf"/><Relationship Id="rId26" Type="http://schemas.openxmlformats.org/officeDocument/2006/relationships/image" Target="../media/image35.emf"/><Relationship Id="rId39" Type="http://schemas.openxmlformats.org/officeDocument/2006/relationships/image" Target="../media/image22.emf"/><Relationship Id="rId21" Type="http://schemas.openxmlformats.org/officeDocument/2006/relationships/image" Target="../media/image40.emf"/><Relationship Id="rId34" Type="http://schemas.openxmlformats.org/officeDocument/2006/relationships/image" Target="../media/image27.emf"/><Relationship Id="rId42" Type="http://schemas.openxmlformats.org/officeDocument/2006/relationships/image" Target="../media/image19.emf"/><Relationship Id="rId47" Type="http://schemas.openxmlformats.org/officeDocument/2006/relationships/image" Target="../media/image14.emf"/><Relationship Id="rId50" Type="http://schemas.openxmlformats.org/officeDocument/2006/relationships/image" Target="../media/image11.emf"/><Relationship Id="rId55" Type="http://schemas.openxmlformats.org/officeDocument/2006/relationships/image" Target="../media/image6.emf"/><Relationship Id="rId7" Type="http://schemas.openxmlformats.org/officeDocument/2006/relationships/image" Target="../media/image54.emf"/><Relationship Id="rId2" Type="http://schemas.openxmlformats.org/officeDocument/2006/relationships/image" Target="../media/image59.emf"/><Relationship Id="rId16" Type="http://schemas.openxmlformats.org/officeDocument/2006/relationships/image" Target="../media/image45.emf"/><Relationship Id="rId29" Type="http://schemas.openxmlformats.org/officeDocument/2006/relationships/image" Target="../media/image32.emf"/><Relationship Id="rId11" Type="http://schemas.openxmlformats.org/officeDocument/2006/relationships/image" Target="../media/image50.emf"/><Relationship Id="rId24" Type="http://schemas.openxmlformats.org/officeDocument/2006/relationships/image" Target="../media/image37.emf"/><Relationship Id="rId32" Type="http://schemas.openxmlformats.org/officeDocument/2006/relationships/image" Target="../media/image29.emf"/><Relationship Id="rId37" Type="http://schemas.openxmlformats.org/officeDocument/2006/relationships/image" Target="../media/image24.emf"/><Relationship Id="rId40" Type="http://schemas.openxmlformats.org/officeDocument/2006/relationships/image" Target="../media/image21.emf"/><Relationship Id="rId45" Type="http://schemas.openxmlformats.org/officeDocument/2006/relationships/image" Target="../media/image16.emf"/><Relationship Id="rId53" Type="http://schemas.openxmlformats.org/officeDocument/2006/relationships/image" Target="../media/image8.emf"/><Relationship Id="rId58" Type="http://schemas.openxmlformats.org/officeDocument/2006/relationships/image" Target="../media/image3.emf"/><Relationship Id="rId5" Type="http://schemas.openxmlformats.org/officeDocument/2006/relationships/image" Target="../media/image56.emf"/><Relationship Id="rId19" Type="http://schemas.openxmlformats.org/officeDocument/2006/relationships/image" Target="../media/image42.emf"/><Relationship Id="rId4" Type="http://schemas.openxmlformats.org/officeDocument/2006/relationships/image" Target="../media/image57.emf"/><Relationship Id="rId9" Type="http://schemas.openxmlformats.org/officeDocument/2006/relationships/image" Target="../media/image52.emf"/><Relationship Id="rId14" Type="http://schemas.openxmlformats.org/officeDocument/2006/relationships/image" Target="../media/image47.emf"/><Relationship Id="rId22" Type="http://schemas.openxmlformats.org/officeDocument/2006/relationships/image" Target="../media/image39.emf"/><Relationship Id="rId27" Type="http://schemas.openxmlformats.org/officeDocument/2006/relationships/image" Target="../media/image34.emf"/><Relationship Id="rId30" Type="http://schemas.openxmlformats.org/officeDocument/2006/relationships/image" Target="../media/image31.emf"/><Relationship Id="rId35" Type="http://schemas.openxmlformats.org/officeDocument/2006/relationships/image" Target="../media/image26.emf"/><Relationship Id="rId43" Type="http://schemas.openxmlformats.org/officeDocument/2006/relationships/image" Target="../media/image18.emf"/><Relationship Id="rId48" Type="http://schemas.openxmlformats.org/officeDocument/2006/relationships/image" Target="../media/image13.emf"/><Relationship Id="rId56" Type="http://schemas.openxmlformats.org/officeDocument/2006/relationships/image" Target="../media/image5.emf"/><Relationship Id="rId8" Type="http://schemas.openxmlformats.org/officeDocument/2006/relationships/image" Target="../media/image53.emf"/><Relationship Id="rId51" Type="http://schemas.openxmlformats.org/officeDocument/2006/relationships/image" Target="../media/image10.emf"/><Relationship Id="rId3" Type="http://schemas.openxmlformats.org/officeDocument/2006/relationships/image" Target="../media/image58.emf"/><Relationship Id="rId12" Type="http://schemas.openxmlformats.org/officeDocument/2006/relationships/image" Target="../media/image49.emf"/><Relationship Id="rId17" Type="http://schemas.openxmlformats.org/officeDocument/2006/relationships/image" Target="../media/image44.emf"/><Relationship Id="rId25" Type="http://schemas.openxmlformats.org/officeDocument/2006/relationships/image" Target="../media/image36.emf"/><Relationship Id="rId33" Type="http://schemas.openxmlformats.org/officeDocument/2006/relationships/image" Target="../media/image28.emf"/><Relationship Id="rId38" Type="http://schemas.openxmlformats.org/officeDocument/2006/relationships/image" Target="../media/image23.emf"/><Relationship Id="rId46" Type="http://schemas.openxmlformats.org/officeDocument/2006/relationships/image" Target="../media/image15.emf"/><Relationship Id="rId59" Type="http://schemas.openxmlformats.org/officeDocument/2006/relationships/image" Target="../media/image2.emf"/><Relationship Id="rId20" Type="http://schemas.openxmlformats.org/officeDocument/2006/relationships/image" Target="../media/image41.emf"/><Relationship Id="rId41" Type="http://schemas.openxmlformats.org/officeDocument/2006/relationships/image" Target="../media/image20.emf"/><Relationship Id="rId54" Type="http://schemas.openxmlformats.org/officeDocument/2006/relationships/image" Target="../media/image7.emf"/><Relationship Id="rId1" Type="http://schemas.openxmlformats.org/officeDocument/2006/relationships/image" Target="../media/image60.emf"/><Relationship Id="rId6" Type="http://schemas.openxmlformats.org/officeDocument/2006/relationships/image" Target="../media/image55.emf"/><Relationship Id="rId15" Type="http://schemas.openxmlformats.org/officeDocument/2006/relationships/image" Target="../media/image46.emf"/><Relationship Id="rId23" Type="http://schemas.openxmlformats.org/officeDocument/2006/relationships/image" Target="../media/image38.emf"/><Relationship Id="rId28" Type="http://schemas.openxmlformats.org/officeDocument/2006/relationships/image" Target="../media/image33.emf"/><Relationship Id="rId36" Type="http://schemas.openxmlformats.org/officeDocument/2006/relationships/image" Target="../media/image25.emf"/><Relationship Id="rId49" Type="http://schemas.openxmlformats.org/officeDocument/2006/relationships/image" Target="../media/image12.emf"/><Relationship Id="rId57" Type="http://schemas.openxmlformats.org/officeDocument/2006/relationships/image" Target="../media/image4.emf"/><Relationship Id="rId10" Type="http://schemas.openxmlformats.org/officeDocument/2006/relationships/image" Target="../media/image51.emf"/><Relationship Id="rId31" Type="http://schemas.openxmlformats.org/officeDocument/2006/relationships/image" Target="../media/image30.emf"/><Relationship Id="rId44" Type="http://schemas.openxmlformats.org/officeDocument/2006/relationships/image" Target="../media/image17.emf"/><Relationship Id="rId52" Type="http://schemas.openxmlformats.org/officeDocument/2006/relationships/image" Target="../media/image9.emf"/><Relationship Id="rId60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223" name="CheckBox11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9525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224" name="CheckBox12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</xdr:row>
          <xdr:rowOff>9525</xdr:rowOff>
        </xdr:from>
        <xdr:to>
          <xdr:col>24</xdr:col>
          <xdr:colOff>0</xdr:colOff>
          <xdr:row>2</xdr:row>
          <xdr:rowOff>0</xdr:rowOff>
        </xdr:to>
        <xdr:sp macro="" textlink="">
          <xdr:nvSpPr>
            <xdr:cNvPr id="1225" name="CheckBox13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</xdr:row>
          <xdr:rowOff>9525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1226" name="CheckBox14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2</xdr:row>
          <xdr:rowOff>9525</xdr:rowOff>
        </xdr:from>
        <xdr:to>
          <xdr:col>22</xdr:col>
          <xdr:colOff>0</xdr:colOff>
          <xdr:row>3</xdr:row>
          <xdr:rowOff>0</xdr:rowOff>
        </xdr:to>
        <xdr:sp macro="" textlink="">
          <xdr:nvSpPr>
            <xdr:cNvPr id="1227" name="CheckBox21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2</xdr:row>
          <xdr:rowOff>9525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1228" name="CheckBox22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2</xdr:row>
          <xdr:rowOff>9525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229" name="CheckBox23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2</xdr:row>
          <xdr:rowOff>9525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1230" name="CheckBox24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</xdr:row>
          <xdr:rowOff>9525</xdr:rowOff>
        </xdr:from>
        <xdr:to>
          <xdr:col>22</xdr:col>
          <xdr:colOff>0</xdr:colOff>
          <xdr:row>4</xdr:row>
          <xdr:rowOff>0</xdr:rowOff>
        </xdr:to>
        <xdr:sp macro="" textlink="">
          <xdr:nvSpPr>
            <xdr:cNvPr id="1231" name="CheckBox31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3</xdr:row>
          <xdr:rowOff>9525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1232" name="CheckBox32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</xdr:row>
          <xdr:rowOff>9525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1233" name="CheckBox33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3</xdr:row>
          <xdr:rowOff>9525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1234" name="CheckBox34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4</xdr:row>
          <xdr:rowOff>9525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1235" name="CheckBox4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4</xdr:row>
          <xdr:rowOff>9525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1236" name="CheckBox4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</xdr:row>
          <xdr:rowOff>9525</xdr:rowOff>
        </xdr:from>
        <xdr:to>
          <xdr:col>24</xdr:col>
          <xdr:colOff>0</xdr:colOff>
          <xdr:row>5</xdr:row>
          <xdr:rowOff>0</xdr:rowOff>
        </xdr:to>
        <xdr:sp macro="" textlink="">
          <xdr:nvSpPr>
            <xdr:cNvPr id="1237" name="CheckBox4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4</xdr:row>
          <xdr:rowOff>9525</xdr:rowOff>
        </xdr:from>
        <xdr:to>
          <xdr:col>25</xdr:col>
          <xdr:colOff>0</xdr:colOff>
          <xdr:row>5</xdr:row>
          <xdr:rowOff>0</xdr:rowOff>
        </xdr:to>
        <xdr:sp macro="" textlink="">
          <xdr:nvSpPr>
            <xdr:cNvPr id="1238" name="CheckBox4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5</xdr:row>
          <xdr:rowOff>9525</xdr:rowOff>
        </xdr:from>
        <xdr:to>
          <xdr:col>22</xdr:col>
          <xdr:colOff>0</xdr:colOff>
          <xdr:row>6</xdr:row>
          <xdr:rowOff>0</xdr:rowOff>
        </xdr:to>
        <xdr:sp macro="" textlink="">
          <xdr:nvSpPr>
            <xdr:cNvPr id="1239" name="CheckBox5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5</xdr:row>
          <xdr:rowOff>9525</xdr:rowOff>
        </xdr:from>
        <xdr:to>
          <xdr:col>23</xdr:col>
          <xdr:colOff>0</xdr:colOff>
          <xdr:row>6</xdr:row>
          <xdr:rowOff>0</xdr:rowOff>
        </xdr:to>
        <xdr:sp macro="" textlink="">
          <xdr:nvSpPr>
            <xdr:cNvPr id="1240" name="CheckBox5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5</xdr:row>
          <xdr:rowOff>9525</xdr:rowOff>
        </xdr:from>
        <xdr:to>
          <xdr:col>24</xdr:col>
          <xdr:colOff>0</xdr:colOff>
          <xdr:row>6</xdr:row>
          <xdr:rowOff>0</xdr:rowOff>
        </xdr:to>
        <xdr:sp macro="" textlink="">
          <xdr:nvSpPr>
            <xdr:cNvPr id="1241" name="CheckBox53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5</xdr:row>
          <xdr:rowOff>9525</xdr:rowOff>
        </xdr:from>
        <xdr:to>
          <xdr:col>25</xdr:col>
          <xdr:colOff>0</xdr:colOff>
          <xdr:row>6</xdr:row>
          <xdr:rowOff>0</xdr:rowOff>
        </xdr:to>
        <xdr:sp macro="" textlink="">
          <xdr:nvSpPr>
            <xdr:cNvPr id="1242" name="CheckBox54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6</xdr:row>
          <xdr:rowOff>9525</xdr:rowOff>
        </xdr:from>
        <xdr:to>
          <xdr:col>22</xdr:col>
          <xdr:colOff>0</xdr:colOff>
          <xdr:row>7</xdr:row>
          <xdr:rowOff>0</xdr:rowOff>
        </xdr:to>
        <xdr:sp macro="" textlink="">
          <xdr:nvSpPr>
            <xdr:cNvPr id="1243" name="CheckBox61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6</xdr:row>
          <xdr:rowOff>9525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1244" name="CheckBox62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6</xdr:row>
          <xdr:rowOff>9525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1245" name="CheckBox63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6</xdr:row>
          <xdr:rowOff>9525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1246" name="CheckBox64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7</xdr:row>
          <xdr:rowOff>9525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1247" name="CheckBox71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7</xdr:row>
          <xdr:rowOff>9525</xdr:rowOff>
        </xdr:from>
        <xdr:to>
          <xdr:col>23</xdr:col>
          <xdr:colOff>0</xdr:colOff>
          <xdr:row>8</xdr:row>
          <xdr:rowOff>0</xdr:rowOff>
        </xdr:to>
        <xdr:sp macro="" textlink="">
          <xdr:nvSpPr>
            <xdr:cNvPr id="1248" name="CheckBox72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7</xdr:row>
          <xdr:rowOff>9525</xdr:rowOff>
        </xdr:from>
        <xdr:to>
          <xdr:col>24</xdr:col>
          <xdr:colOff>0</xdr:colOff>
          <xdr:row>8</xdr:row>
          <xdr:rowOff>0</xdr:rowOff>
        </xdr:to>
        <xdr:sp macro="" textlink="">
          <xdr:nvSpPr>
            <xdr:cNvPr id="1249" name="CheckBox73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7</xdr:row>
          <xdr:rowOff>9525</xdr:rowOff>
        </xdr:from>
        <xdr:to>
          <xdr:col>25</xdr:col>
          <xdr:colOff>0</xdr:colOff>
          <xdr:row>8</xdr:row>
          <xdr:rowOff>0</xdr:rowOff>
        </xdr:to>
        <xdr:sp macro="" textlink="">
          <xdr:nvSpPr>
            <xdr:cNvPr id="1250" name="CheckBox74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8</xdr:row>
          <xdr:rowOff>9525</xdr:rowOff>
        </xdr:from>
        <xdr:to>
          <xdr:col>22</xdr:col>
          <xdr:colOff>0</xdr:colOff>
          <xdr:row>9</xdr:row>
          <xdr:rowOff>0</xdr:rowOff>
        </xdr:to>
        <xdr:sp macro="" textlink="">
          <xdr:nvSpPr>
            <xdr:cNvPr id="1251" name="CheckBox81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8</xdr:row>
          <xdr:rowOff>9525</xdr:rowOff>
        </xdr:from>
        <xdr:to>
          <xdr:col>23</xdr:col>
          <xdr:colOff>0</xdr:colOff>
          <xdr:row>9</xdr:row>
          <xdr:rowOff>0</xdr:rowOff>
        </xdr:to>
        <xdr:sp macro="" textlink="">
          <xdr:nvSpPr>
            <xdr:cNvPr id="1252" name="CheckBox82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8</xdr:row>
          <xdr:rowOff>9525</xdr:rowOff>
        </xdr:from>
        <xdr:to>
          <xdr:col>24</xdr:col>
          <xdr:colOff>0</xdr:colOff>
          <xdr:row>9</xdr:row>
          <xdr:rowOff>0</xdr:rowOff>
        </xdr:to>
        <xdr:sp macro="" textlink="">
          <xdr:nvSpPr>
            <xdr:cNvPr id="1253" name="CheckBox83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8</xdr:row>
          <xdr:rowOff>9525</xdr:rowOff>
        </xdr:from>
        <xdr:to>
          <xdr:col>25</xdr:col>
          <xdr:colOff>0</xdr:colOff>
          <xdr:row>9</xdr:row>
          <xdr:rowOff>0</xdr:rowOff>
        </xdr:to>
        <xdr:sp macro="" textlink="">
          <xdr:nvSpPr>
            <xdr:cNvPr id="1254" name="CheckBox84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9</xdr:row>
          <xdr:rowOff>9525</xdr:rowOff>
        </xdr:from>
        <xdr:to>
          <xdr:col>22</xdr:col>
          <xdr:colOff>0</xdr:colOff>
          <xdr:row>10</xdr:row>
          <xdr:rowOff>0</xdr:rowOff>
        </xdr:to>
        <xdr:sp macro="" textlink="">
          <xdr:nvSpPr>
            <xdr:cNvPr id="1255" name="CheckBox9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9</xdr:row>
          <xdr:rowOff>9525</xdr:rowOff>
        </xdr:from>
        <xdr:to>
          <xdr:col>23</xdr:col>
          <xdr:colOff>0</xdr:colOff>
          <xdr:row>10</xdr:row>
          <xdr:rowOff>0</xdr:rowOff>
        </xdr:to>
        <xdr:sp macro="" textlink="">
          <xdr:nvSpPr>
            <xdr:cNvPr id="1256" name="CheckBox9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9</xdr:row>
          <xdr:rowOff>9525</xdr:rowOff>
        </xdr:from>
        <xdr:to>
          <xdr:col>24</xdr:col>
          <xdr:colOff>0</xdr:colOff>
          <xdr:row>10</xdr:row>
          <xdr:rowOff>0</xdr:rowOff>
        </xdr:to>
        <xdr:sp macro="" textlink="">
          <xdr:nvSpPr>
            <xdr:cNvPr id="1257" name="CheckBox9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9</xdr:row>
          <xdr:rowOff>9525</xdr:rowOff>
        </xdr:from>
        <xdr:to>
          <xdr:col>25</xdr:col>
          <xdr:colOff>0</xdr:colOff>
          <xdr:row>10</xdr:row>
          <xdr:rowOff>0</xdr:rowOff>
        </xdr:to>
        <xdr:sp macro="" textlink="">
          <xdr:nvSpPr>
            <xdr:cNvPr id="1258" name="CheckBox9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10</xdr:row>
          <xdr:rowOff>9525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1259" name="CheckBox101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10</xdr:row>
          <xdr:rowOff>9525</xdr:rowOff>
        </xdr:from>
        <xdr:to>
          <xdr:col>23</xdr:col>
          <xdr:colOff>0</xdr:colOff>
          <xdr:row>11</xdr:row>
          <xdr:rowOff>0</xdr:rowOff>
        </xdr:to>
        <xdr:sp macro="" textlink="">
          <xdr:nvSpPr>
            <xdr:cNvPr id="1260" name="CheckBox102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10</xdr:row>
          <xdr:rowOff>9525</xdr:rowOff>
        </xdr:from>
        <xdr:to>
          <xdr:col>24</xdr:col>
          <xdr:colOff>0</xdr:colOff>
          <xdr:row>11</xdr:row>
          <xdr:rowOff>0</xdr:rowOff>
        </xdr:to>
        <xdr:sp macro="" textlink="">
          <xdr:nvSpPr>
            <xdr:cNvPr id="1261" name="CheckBox103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10</xdr:row>
          <xdr:rowOff>9525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1262" name="CheckBox104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11</xdr:row>
          <xdr:rowOff>9525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1263" name="CheckBox111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11</xdr:row>
          <xdr:rowOff>9525</xdr:rowOff>
        </xdr:from>
        <xdr:to>
          <xdr:col>23</xdr:col>
          <xdr:colOff>0</xdr:colOff>
          <xdr:row>12</xdr:row>
          <xdr:rowOff>0</xdr:rowOff>
        </xdr:to>
        <xdr:sp macro="" textlink="">
          <xdr:nvSpPr>
            <xdr:cNvPr id="1264" name="CheckBox112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11</xdr:row>
          <xdr:rowOff>9525</xdr:rowOff>
        </xdr:from>
        <xdr:to>
          <xdr:col>24</xdr:col>
          <xdr:colOff>0</xdr:colOff>
          <xdr:row>12</xdr:row>
          <xdr:rowOff>0</xdr:rowOff>
        </xdr:to>
        <xdr:sp macro="" textlink="">
          <xdr:nvSpPr>
            <xdr:cNvPr id="1265" name="CheckBox113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11</xdr:row>
          <xdr:rowOff>9525</xdr:rowOff>
        </xdr:from>
        <xdr:to>
          <xdr:col>25</xdr:col>
          <xdr:colOff>0</xdr:colOff>
          <xdr:row>12</xdr:row>
          <xdr:rowOff>0</xdr:rowOff>
        </xdr:to>
        <xdr:sp macro="" textlink="">
          <xdr:nvSpPr>
            <xdr:cNvPr id="1266" name="CheckBox114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12</xdr:row>
          <xdr:rowOff>9525</xdr:rowOff>
        </xdr:from>
        <xdr:to>
          <xdr:col>22</xdr:col>
          <xdr:colOff>0</xdr:colOff>
          <xdr:row>13</xdr:row>
          <xdr:rowOff>0</xdr:rowOff>
        </xdr:to>
        <xdr:sp macro="" textlink="">
          <xdr:nvSpPr>
            <xdr:cNvPr id="1267" name="CheckBox121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12</xdr:row>
          <xdr:rowOff>9525</xdr:rowOff>
        </xdr:from>
        <xdr:to>
          <xdr:col>23</xdr:col>
          <xdr:colOff>0</xdr:colOff>
          <xdr:row>13</xdr:row>
          <xdr:rowOff>0</xdr:rowOff>
        </xdr:to>
        <xdr:sp macro="" textlink="">
          <xdr:nvSpPr>
            <xdr:cNvPr id="1268" name="CheckBox122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12</xdr:row>
          <xdr:rowOff>9525</xdr:rowOff>
        </xdr:from>
        <xdr:to>
          <xdr:col>24</xdr:col>
          <xdr:colOff>0</xdr:colOff>
          <xdr:row>13</xdr:row>
          <xdr:rowOff>0</xdr:rowOff>
        </xdr:to>
        <xdr:sp macro="" textlink="">
          <xdr:nvSpPr>
            <xdr:cNvPr id="1269" name="CheckBox123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12</xdr:row>
          <xdr:rowOff>9525</xdr:rowOff>
        </xdr:from>
        <xdr:to>
          <xdr:col>25</xdr:col>
          <xdr:colOff>0</xdr:colOff>
          <xdr:row>13</xdr:row>
          <xdr:rowOff>0</xdr:rowOff>
        </xdr:to>
        <xdr:sp macro="" textlink="">
          <xdr:nvSpPr>
            <xdr:cNvPr id="1270" name="CheckBox124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13</xdr:row>
          <xdr:rowOff>9525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1271" name="CheckBox131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13</xdr:row>
          <xdr:rowOff>9525</xdr:rowOff>
        </xdr:from>
        <xdr:to>
          <xdr:col>23</xdr:col>
          <xdr:colOff>0</xdr:colOff>
          <xdr:row>14</xdr:row>
          <xdr:rowOff>0</xdr:rowOff>
        </xdr:to>
        <xdr:sp macro="" textlink="">
          <xdr:nvSpPr>
            <xdr:cNvPr id="1272" name="CheckBox132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13</xdr:row>
          <xdr:rowOff>9525</xdr:rowOff>
        </xdr:from>
        <xdr:to>
          <xdr:col>24</xdr:col>
          <xdr:colOff>0</xdr:colOff>
          <xdr:row>14</xdr:row>
          <xdr:rowOff>0</xdr:rowOff>
        </xdr:to>
        <xdr:sp macro="" textlink="">
          <xdr:nvSpPr>
            <xdr:cNvPr id="1273" name="CheckBox133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13</xdr:row>
          <xdr:rowOff>9525</xdr:rowOff>
        </xdr:from>
        <xdr:to>
          <xdr:col>25</xdr:col>
          <xdr:colOff>0</xdr:colOff>
          <xdr:row>14</xdr:row>
          <xdr:rowOff>0</xdr:rowOff>
        </xdr:to>
        <xdr:sp macro="" textlink="">
          <xdr:nvSpPr>
            <xdr:cNvPr id="1274" name="CheckBox134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14</xdr:row>
          <xdr:rowOff>9525</xdr:rowOff>
        </xdr:from>
        <xdr:to>
          <xdr:col>22</xdr:col>
          <xdr:colOff>0</xdr:colOff>
          <xdr:row>15</xdr:row>
          <xdr:rowOff>0</xdr:rowOff>
        </xdr:to>
        <xdr:sp macro="" textlink="">
          <xdr:nvSpPr>
            <xdr:cNvPr id="1275" name="CheckBox14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14</xdr:row>
          <xdr:rowOff>9525</xdr:rowOff>
        </xdr:from>
        <xdr:to>
          <xdr:col>23</xdr:col>
          <xdr:colOff>0</xdr:colOff>
          <xdr:row>15</xdr:row>
          <xdr:rowOff>0</xdr:rowOff>
        </xdr:to>
        <xdr:sp macro="" textlink="">
          <xdr:nvSpPr>
            <xdr:cNvPr id="1276" name="CheckBox14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14</xdr:row>
          <xdr:rowOff>9525</xdr:rowOff>
        </xdr:from>
        <xdr:to>
          <xdr:col>24</xdr:col>
          <xdr:colOff>0</xdr:colOff>
          <xdr:row>15</xdr:row>
          <xdr:rowOff>0</xdr:rowOff>
        </xdr:to>
        <xdr:sp macro="" textlink="">
          <xdr:nvSpPr>
            <xdr:cNvPr id="1277" name="CheckBox14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14</xdr:row>
          <xdr:rowOff>9525</xdr:rowOff>
        </xdr:from>
        <xdr:to>
          <xdr:col>25</xdr:col>
          <xdr:colOff>0</xdr:colOff>
          <xdr:row>15</xdr:row>
          <xdr:rowOff>0</xdr:rowOff>
        </xdr:to>
        <xdr:sp macro="" textlink="">
          <xdr:nvSpPr>
            <xdr:cNvPr id="1278" name="CheckBox14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15</xdr:row>
          <xdr:rowOff>9525</xdr:rowOff>
        </xdr:from>
        <xdr:to>
          <xdr:col>22</xdr:col>
          <xdr:colOff>0</xdr:colOff>
          <xdr:row>16</xdr:row>
          <xdr:rowOff>0</xdr:rowOff>
        </xdr:to>
        <xdr:sp macro="" textlink="">
          <xdr:nvSpPr>
            <xdr:cNvPr id="1279" name="CheckBox151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15</xdr:row>
          <xdr:rowOff>9525</xdr:rowOff>
        </xdr:from>
        <xdr:to>
          <xdr:col>23</xdr:col>
          <xdr:colOff>0</xdr:colOff>
          <xdr:row>16</xdr:row>
          <xdr:rowOff>0</xdr:rowOff>
        </xdr:to>
        <xdr:sp macro="" textlink="">
          <xdr:nvSpPr>
            <xdr:cNvPr id="1280" name="CheckBox152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15</xdr:row>
          <xdr:rowOff>9525</xdr:rowOff>
        </xdr:from>
        <xdr:to>
          <xdr:col>24</xdr:col>
          <xdr:colOff>0</xdr:colOff>
          <xdr:row>16</xdr:row>
          <xdr:rowOff>0</xdr:rowOff>
        </xdr:to>
        <xdr:sp macro="" textlink="">
          <xdr:nvSpPr>
            <xdr:cNvPr id="1281" name="CheckBox153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</xdr:colOff>
          <xdr:row>15</xdr:row>
          <xdr:rowOff>9525</xdr:rowOff>
        </xdr:from>
        <xdr:to>
          <xdr:col>25</xdr:col>
          <xdr:colOff>0</xdr:colOff>
          <xdr:row>16</xdr:row>
          <xdr:rowOff>0</xdr:rowOff>
        </xdr:to>
        <xdr:sp macro="" textlink="">
          <xdr:nvSpPr>
            <xdr:cNvPr id="1282" name="CheckBox154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3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21AE9D-0F3F-4CD9-8469-21463D066884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84" Type="http://schemas.openxmlformats.org/officeDocument/2006/relationships/control" Target="../activeX/activeX41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6" Type="http://schemas.openxmlformats.org/officeDocument/2006/relationships/control" Target="../activeX/activeX7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5" Type="http://schemas.openxmlformats.org/officeDocument/2006/relationships/image" Target="../media/image1.emf"/><Relationship Id="rId90" Type="http://schemas.openxmlformats.org/officeDocument/2006/relationships/control" Target="../activeX/activeX44.xml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C906-E848-4472-A207-9BA95F10FC62}">
  <sheetPr codeName="Sheet3"/>
  <dimension ref="A1:CT27"/>
  <sheetViews>
    <sheetView tabSelected="1" zoomScale="94" workbookViewId="0">
      <selection activeCell="O11" sqref="O11"/>
    </sheetView>
  </sheetViews>
  <sheetFormatPr defaultRowHeight="15" x14ac:dyDescent="0.25"/>
  <cols>
    <col min="2" max="2" width="10" customWidth="1"/>
    <col min="16" max="16" width="10.28515625" customWidth="1"/>
    <col min="18" max="18" width="4.42578125" customWidth="1"/>
    <col min="20" max="20" width="9.85546875" customWidth="1"/>
    <col min="21" max="21" width="9" customWidth="1"/>
    <col min="22" max="25" width="9.140625" customWidth="1"/>
    <col min="26" max="26" width="10.140625" customWidth="1"/>
    <col min="27" max="27" width="12" customWidth="1"/>
    <col min="76" max="76" width="10.28515625" customWidth="1"/>
    <col min="97" max="97" width="9.42578125" customWidth="1"/>
    <col min="98" max="98" width="11" customWidth="1"/>
  </cols>
  <sheetData>
    <row r="1" spans="1:98" ht="15.75" thickBot="1" x14ac:dyDescent="0.3">
      <c r="B1" s="117"/>
      <c r="D1" s="118"/>
      <c r="E1" s="20"/>
      <c r="F1" s="17"/>
      <c r="G1" s="17"/>
      <c r="H1" s="17"/>
      <c r="I1" s="17"/>
      <c r="J1" s="17"/>
      <c r="K1" s="17"/>
      <c r="L1" s="17"/>
      <c r="M1" s="17"/>
      <c r="N1" s="74"/>
      <c r="O1" s="98" t="s">
        <v>0</v>
      </c>
      <c r="P1" s="98" t="s">
        <v>52</v>
      </c>
      <c r="Q1" s="98" t="s">
        <v>51</v>
      </c>
      <c r="R1" s="98" t="s">
        <v>57</v>
      </c>
      <c r="S1" s="98" t="s">
        <v>55</v>
      </c>
      <c r="T1" s="98" t="s">
        <v>56</v>
      </c>
      <c r="U1" s="99"/>
      <c r="V1" s="100" t="s">
        <v>65</v>
      </c>
      <c r="W1" s="101" t="s">
        <v>66</v>
      </c>
      <c r="X1" s="102" t="s">
        <v>67</v>
      </c>
      <c r="Y1" s="102" t="s">
        <v>68</v>
      </c>
      <c r="AA1" s="135">
        <v>0.25</v>
      </c>
      <c r="AB1" s="136"/>
      <c r="AC1" s="136"/>
      <c r="AD1" s="137"/>
      <c r="AE1" s="135">
        <v>0.29166666666666669</v>
      </c>
      <c r="AF1" s="136"/>
      <c r="AG1" s="136"/>
      <c r="AH1" s="137"/>
      <c r="AI1" s="135">
        <v>0.33333333333333331</v>
      </c>
      <c r="AJ1" s="136"/>
      <c r="AK1" s="136"/>
      <c r="AL1" s="137"/>
      <c r="AM1" s="135">
        <v>0.375</v>
      </c>
      <c r="AN1" s="136"/>
      <c r="AO1" s="136"/>
      <c r="AP1" s="137"/>
      <c r="AQ1" s="135">
        <v>0.41666666666666669</v>
      </c>
      <c r="AR1" s="136"/>
      <c r="AS1" s="136"/>
      <c r="AT1" s="137"/>
      <c r="AU1" s="135">
        <v>0.45833333333333331</v>
      </c>
      <c r="AV1" s="136"/>
      <c r="AW1" s="136"/>
      <c r="AX1" s="137"/>
      <c r="AY1" s="135">
        <v>0.5</v>
      </c>
      <c r="AZ1" s="136"/>
      <c r="BA1" s="136"/>
      <c r="BB1" s="137"/>
      <c r="BC1" s="135">
        <v>0.54166666666666663</v>
      </c>
      <c r="BD1" s="136"/>
      <c r="BE1" s="136"/>
      <c r="BF1" s="137"/>
      <c r="BG1" s="135">
        <v>0.58333333333333337</v>
      </c>
      <c r="BH1" s="136"/>
      <c r="BI1" s="136"/>
      <c r="BJ1" s="137"/>
      <c r="BK1" s="135">
        <v>0.625</v>
      </c>
      <c r="BL1" s="136"/>
      <c r="BM1" s="136"/>
      <c r="BN1" s="137"/>
      <c r="BO1" s="135">
        <v>0.66666666666666663</v>
      </c>
      <c r="BP1" s="136"/>
      <c r="BQ1" s="136"/>
      <c r="BR1" s="137"/>
      <c r="BS1" s="135">
        <v>0.70833333333333337</v>
      </c>
      <c r="BT1" s="136"/>
      <c r="BU1" s="136"/>
      <c r="BV1" s="137"/>
      <c r="BX1" s="59" t="s">
        <v>52</v>
      </c>
      <c r="BY1" s="59" t="s">
        <v>51</v>
      </c>
      <c r="CA1" s="90" t="s">
        <v>63</v>
      </c>
      <c r="CB1" s="90" t="s">
        <v>64</v>
      </c>
      <c r="CD1" s="90" t="s">
        <v>32</v>
      </c>
      <c r="CE1" s="90" t="s">
        <v>58</v>
      </c>
      <c r="CF1" s="90" t="s">
        <v>59</v>
      </c>
      <c r="CG1" s="90" t="s">
        <v>57</v>
      </c>
      <c r="CH1" s="90" t="s">
        <v>55</v>
      </c>
      <c r="CI1" s="90" t="s">
        <v>56</v>
      </c>
      <c r="CJ1" s="90" t="s">
        <v>60</v>
      </c>
      <c r="CK1" s="90" t="s">
        <v>61</v>
      </c>
      <c r="CL1" s="90" t="s">
        <v>62</v>
      </c>
      <c r="CN1" s="90" t="s">
        <v>65</v>
      </c>
      <c r="CO1" s="90" t="s">
        <v>66</v>
      </c>
      <c r="CP1" s="90" t="s">
        <v>67</v>
      </c>
      <c r="CQ1" s="90" t="s">
        <v>68</v>
      </c>
      <c r="CS1" s="131" t="s">
        <v>69</v>
      </c>
      <c r="CT1" s="131"/>
    </row>
    <row r="2" spans="1:98" ht="16.5" customHeight="1" x14ac:dyDescent="0.25">
      <c r="A2" s="93" t="s">
        <v>1</v>
      </c>
      <c r="B2" s="94" t="s">
        <v>6</v>
      </c>
      <c r="C2" s="95" t="s">
        <v>7</v>
      </c>
      <c r="D2" s="96" t="s">
        <v>8</v>
      </c>
      <c r="E2" s="94" t="s">
        <v>9</v>
      </c>
      <c r="F2" s="95" t="s">
        <v>10</v>
      </c>
      <c r="G2" s="96" t="s">
        <v>11</v>
      </c>
      <c r="H2" s="94" t="s">
        <v>12</v>
      </c>
      <c r="I2" s="95" t="s">
        <v>13</v>
      </c>
      <c r="J2" s="96" t="s">
        <v>14</v>
      </c>
      <c r="K2" s="94" t="s">
        <v>15</v>
      </c>
      <c r="L2" s="95" t="s">
        <v>16</v>
      </c>
      <c r="M2" s="96" t="s">
        <v>17</v>
      </c>
      <c r="O2" s="119" t="s">
        <v>72</v>
      </c>
      <c r="P2" s="120">
        <v>0.25</v>
      </c>
      <c r="Q2" s="120">
        <v>0.75</v>
      </c>
      <c r="R2" s="119" t="s">
        <v>2</v>
      </c>
      <c r="S2" s="121">
        <v>0.33333333333333331</v>
      </c>
      <c r="T2" s="121">
        <v>0.54166666666666663</v>
      </c>
      <c r="U2" s="119"/>
      <c r="V2" s="119"/>
      <c r="W2" s="119"/>
      <c r="X2" s="119"/>
      <c r="Y2" s="119"/>
      <c r="Z2" s="116"/>
      <c r="AA2" s="30" t="s">
        <v>28</v>
      </c>
      <c r="AB2" s="29" t="s">
        <v>29</v>
      </c>
      <c r="AC2" s="29" t="s">
        <v>30</v>
      </c>
      <c r="AD2" s="31" t="s">
        <v>31</v>
      </c>
      <c r="AE2" s="30" t="s">
        <v>28</v>
      </c>
      <c r="AF2" s="29" t="s">
        <v>29</v>
      </c>
      <c r="AG2" s="29" t="s">
        <v>30</v>
      </c>
      <c r="AH2" s="31" t="s">
        <v>31</v>
      </c>
      <c r="AI2" s="30" t="s">
        <v>28</v>
      </c>
      <c r="AJ2" s="29" t="s">
        <v>29</v>
      </c>
      <c r="AK2" s="29" t="s">
        <v>30</v>
      </c>
      <c r="AL2" s="31" t="s">
        <v>31</v>
      </c>
      <c r="AM2" s="30" t="s">
        <v>28</v>
      </c>
      <c r="AN2" s="29" t="s">
        <v>29</v>
      </c>
      <c r="AO2" s="29" t="s">
        <v>30</v>
      </c>
      <c r="AP2" s="31" t="s">
        <v>31</v>
      </c>
      <c r="AQ2" s="30" t="s">
        <v>28</v>
      </c>
      <c r="AR2" s="29" t="s">
        <v>29</v>
      </c>
      <c r="AS2" s="29" t="s">
        <v>30</v>
      </c>
      <c r="AT2" s="31" t="s">
        <v>31</v>
      </c>
      <c r="AU2" s="30" t="s">
        <v>28</v>
      </c>
      <c r="AV2" s="29" t="s">
        <v>29</v>
      </c>
      <c r="AW2" s="29" t="s">
        <v>30</v>
      </c>
      <c r="AX2" s="31" t="s">
        <v>31</v>
      </c>
      <c r="AY2" s="30" t="s">
        <v>28</v>
      </c>
      <c r="AZ2" s="29" t="s">
        <v>29</v>
      </c>
      <c r="BA2" s="29" t="s">
        <v>30</v>
      </c>
      <c r="BB2" s="31" t="s">
        <v>31</v>
      </c>
      <c r="BC2" s="30" t="s">
        <v>28</v>
      </c>
      <c r="BD2" s="29" t="s">
        <v>29</v>
      </c>
      <c r="BE2" s="29" t="s">
        <v>30</v>
      </c>
      <c r="BF2" s="31" t="s">
        <v>31</v>
      </c>
      <c r="BG2" s="30" t="s">
        <v>28</v>
      </c>
      <c r="BH2" s="29" t="s">
        <v>29</v>
      </c>
      <c r="BI2" s="29" t="s">
        <v>30</v>
      </c>
      <c r="BJ2" s="31" t="s">
        <v>31</v>
      </c>
      <c r="BK2" s="30" t="s">
        <v>28</v>
      </c>
      <c r="BL2" s="29" t="s">
        <v>29</v>
      </c>
      <c r="BM2" s="29" t="s">
        <v>30</v>
      </c>
      <c r="BN2" s="31" t="s">
        <v>31</v>
      </c>
      <c r="BO2" s="30" t="s">
        <v>28</v>
      </c>
      <c r="BP2" s="29" t="s">
        <v>29</v>
      </c>
      <c r="BQ2" s="29" t="s">
        <v>30</v>
      </c>
      <c r="BR2" s="31" t="s">
        <v>31</v>
      </c>
      <c r="BS2" s="30" t="s">
        <v>28</v>
      </c>
      <c r="BT2" s="29" t="s">
        <v>29</v>
      </c>
      <c r="BU2" s="29" t="s">
        <v>30</v>
      </c>
      <c r="BV2" s="31" t="s">
        <v>31</v>
      </c>
      <c r="BX2" s="41">
        <v>0.25</v>
      </c>
      <c r="BY2" s="41">
        <v>0.75</v>
      </c>
      <c r="CA2" t="b">
        <f t="shared" ref="CA2:CA16" si="0">IF(AND($O2&lt;&gt;"",OR($P2="",$Q2="",AND($P2&lt;=$AI$1,$Q2&gt;=$AY$1))),COUNTIF($D$19:$G$23,$O2)&gt;0,TRUE)</f>
        <v>1</v>
      </c>
      <c r="CB2" t="b">
        <f t="shared" ref="CB2:CB16" si="1">IF(AND($O2&lt;&gt;"",OR($P2="",$Q2="",AND($P2&lt;=$AY$1,$Q2&gt;=$BO$1))),COUNTIF($I$19:$L$23,$O2)&gt;0,TRUE)</f>
        <v>1</v>
      </c>
      <c r="CD2" t="s">
        <v>72</v>
      </c>
      <c r="CE2" s="41">
        <v>0.25</v>
      </c>
      <c r="CF2" s="41">
        <v>0.75</v>
      </c>
      <c r="CG2" t="s">
        <v>2</v>
      </c>
      <c r="CH2" s="41">
        <v>0.33333333333333331</v>
      </c>
      <c r="CI2" s="41">
        <v>0.54166666666666663</v>
      </c>
      <c r="CJ2">
        <v>2</v>
      </c>
      <c r="CK2" t="b">
        <v>1</v>
      </c>
      <c r="CL2">
        <v>3</v>
      </c>
      <c r="CN2" t="b">
        <v>0</v>
      </c>
      <c r="CO2" t="b">
        <v>0</v>
      </c>
      <c r="CP2" t="b">
        <v>0</v>
      </c>
      <c r="CQ2" t="b">
        <v>0</v>
      </c>
      <c r="CS2" t="b">
        <v>1</v>
      </c>
      <c r="CT2" t="b">
        <v>0</v>
      </c>
    </row>
    <row r="3" spans="1:98" ht="16.5" customHeight="1" x14ac:dyDescent="0.25">
      <c r="A3" s="53" t="s">
        <v>2</v>
      </c>
      <c r="B3" s="54" t="s">
        <v>72</v>
      </c>
      <c r="C3" s="55" t="s">
        <v>72</v>
      </c>
      <c r="D3" s="56"/>
      <c r="E3" s="54" t="s">
        <v>72</v>
      </c>
      <c r="F3" s="55" t="s">
        <v>72</v>
      </c>
      <c r="G3" s="56" t="s">
        <v>72</v>
      </c>
      <c r="H3" s="54" t="s">
        <v>72</v>
      </c>
      <c r="I3" s="55"/>
      <c r="J3" s="56" t="s">
        <v>72</v>
      </c>
      <c r="K3" s="54" t="s">
        <v>72</v>
      </c>
      <c r="L3" s="55" t="s">
        <v>72</v>
      </c>
      <c r="M3" s="56" t="s">
        <v>72</v>
      </c>
      <c r="N3" s="73"/>
      <c r="O3" s="119" t="s">
        <v>73</v>
      </c>
      <c r="P3" s="120">
        <v>0.25</v>
      </c>
      <c r="Q3" s="120">
        <v>0.75</v>
      </c>
      <c r="R3" s="119" t="s">
        <v>2</v>
      </c>
      <c r="S3" s="121">
        <v>0.375</v>
      </c>
      <c r="T3" s="121">
        <v>0.58333333333333337</v>
      </c>
      <c r="U3" s="119"/>
      <c r="V3" s="119"/>
      <c r="W3" s="119"/>
      <c r="X3" s="119"/>
      <c r="Y3" s="119"/>
      <c r="Z3" s="116"/>
      <c r="AA3" s="32" t="str">
        <f t="shared" ref="AA3:AA17" si="2">IF(OR(COUNTIF(Hour1,$O2)&gt;0,COUNTIF(Break1,$O2)&gt;0,$O2="",IF(AND($P2&lt;&gt;"",$Q2&lt;&gt;""),OR($P2&gt;AA$1,$Q2&lt;=AA$1),FALSE)),"",$O2)</f>
        <v/>
      </c>
      <c r="AB3" s="28" t="str">
        <f>IF(AA3&lt;&gt;"",ROWS(AA$3:AA3),"")</f>
        <v/>
      </c>
      <c r="AC3" s="28" t="str">
        <f>IFERROR(SMALL(AB$3:AB$17,ROWS(AB$3:AB3)),"")</f>
        <v/>
      </c>
      <c r="AD3" s="91" t="str">
        <f t="shared" ref="AD3:AD17" si="3">IFERROR(INDEX($O$2:$O$16,AC3),"")</f>
        <v/>
      </c>
      <c r="AE3" s="32" t="str">
        <f t="shared" ref="AE3:AE17" si="4">IF(OR(COUNTIF(Hour2,$O2)&gt;0,COUNTIF(Break2,$O2)&gt;0,$O2="",IF(AND($P2&lt;&gt;"",$Q2&lt;&gt;""),OR($P2&gt;AE$1,$Q2&lt;=AE$1),FALSE)),"",$O2)</f>
        <v/>
      </c>
      <c r="AF3" s="28" t="str">
        <f>IF(AE3&lt;&gt;"",ROWS(AE$3:AE3),"")</f>
        <v/>
      </c>
      <c r="AG3" s="28" t="str">
        <f>IFERROR(SMALL(AF$3:AF$17,ROWS(AF$3:AF3)),"")</f>
        <v/>
      </c>
      <c r="AH3" s="33" t="str">
        <f t="shared" ref="AH3:AH17" si="5">IFERROR(INDEX($O$2:$O$16,AG3),"")</f>
        <v/>
      </c>
      <c r="AI3" s="32" t="str">
        <f t="shared" ref="AI3:AI17" si="6">IF(OR(COUNTIF(Hour3,$O2)&gt;0,COUNTIF(Break3,$O2)&gt;0,$O2="",IF(AND($P2&lt;&gt;"",$Q2&lt;&gt;""),OR($P2&gt;AI$1,$Q2&lt;=AI$1),FALSE)),"",$O2)</f>
        <v/>
      </c>
      <c r="AJ3" s="28" t="str">
        <f>IF(AI3&lt;&gt;"",ROWS(AI$3:AI3),"")</f>
        <v/>
      </c>
      <c r="AK3" s="28" t="str">
        <f>IFERROR(SMALL(AJ$3:AJ$17,ROWS(AJ$3:AJ3)),"")</f>
        <v/>
      </c>
      <c r="AL3" s="33" t="str">
        <f t="shared" ref="AL3:AL17" si="7">IFERROR(INDEX($O$2:$O$16,AK3),"")</f>
        <v/>
      </c>
      <c r="AM3" s="32" t="str">
        <f t="shared" ref="AM3:AM17" si="8">IF(OR(COUNTIF(Hour4,$O2)&gt;0,COUNTIF(Break4,$O2)&gt;0,$O2="",IF(AND($P2&lt;&gt;"",$Q2&lt;&gt;""),OR($P2&gt;AM$1,$Q2&lt;=AM$1),FALSE)),"",$O2)</f>
        <v/>
      </c>
      <c r="AN3" s="28" t="str">
        <f>IF(AM3&lt;&gt;"",ROWS(AM$3:AM3),"")</f>
        <v/>
      </c>
      <c r="AO3" s="28" t="str">
        <f>IFERROR(SMALL(AN$3:AN$17,ROWS(AN$3:AN3)),"")</f>
        <v/>
      </c>
      <c r="AP3" s="33" t="str">
        <f t="shared" ref="AP3:AP17" si="9">IFERROR(INDEX($O$2:$O$16,AO3),"")</f>
        <v/>
      </c>
      <c r="AQ3" s="32" t="str">
        <f t="shared" ref="AQ3:AQ17" si="10">IF(OR(COUNTIF(Hour5,$O2)&gt;0,COUNTIF(Break5,$O2)&gt;0,$O2="",IF(AND($P2&lt;&gt;"",$Q2&lt;&gt;""),OR($P2&gt;AQ$1,$Q2&lt;=AQ$1),FALSE)),"",$O2)</f>
        <v/>
      </c>
      <c r="AR3" s="28" t="str">
        <f>IF(AQ3&lt;&gt;"",ROWS(AQ$3:AQ3),"")</f>
        <v/>
      </c>
      <c r="AS3" s="28" t="str">
        <f>IFERROR(SMALL(AR$3:AR$17,ROWS(AR$3:AR3)),"")</f>
        <v/>
      </c>
      <c r="AT3" s="33" t="str">
        <f t="shared" ref="AT3:AT17" si="11">IFERROR(INDEX($O$2:$O$16,AS3),"")</f>
        <v/>
      </c>
      <c r="AU3" s="32" t="str">
        <f t="shared" ref="AU3:AU17" si="12">IF(OR(COUNTIF(Hour6,$O2)&gt;0,COUNTIF(Break6,$O2)&gt;0,$O2="",IF(AND($P2&lt;&gt;"",$Q2&lt;&gt;""),OR($P2&gt;AU$1,$Q2&lt;=AU$1),FALSE)),"",$O2)</f>
        <v/>
      </c>
      <c r="AV3" s="28" t="str">
        <f>IF(AU3&lt;&gt;"",ROWS(AU$3:AU3),"")</f>
        <v/>
      </c>
      <c r="AW3" s="28" t="str">
        <f>IFERROR(SMALL(AV$3:AV$17,ROWS(AV$3:AV3)),"")</f>
        <v/>
      </c>
      <c r="AX3" s="33" t="str">
        <f t="shared" ref="AX3:AX17" si="13">IFERROR(INDEX($O$2:$O$16,AW3),"")</f>
        <v/>
      </c>
      <c r="AY3" s="32" t="str">
        <f t="shared" ref="AY3:AY17" si="14">IF(OR(COUNTIF(Hour7,$O2)&gt;0,COUNTIF(Break7,$O2)&gt;0,$O2="",IF(AND($P2&lt;&gt;"",$Q2&lt;&gt;""),OR($P2&gt;AY$1,$Q2&lt;=AY$1),FALSE)),"",$O2)</f>
        <v/>
      </c>
      <c r="AZ3" s="28" t="str">
        <f>IF(AY3&lt;&gt;"",ROWS(AY$3:AY3),"")</f>
        <v/>
      </c>
      <c r="BA3" s="28" t="str">
        <f>IFERROR(SMALL(AZ$3:AZ$17,ROWS(AZ$3:AZ3)),"")</f>
        <v/>
      </c>
      <c r="BB3" s="33" t="str">
        <f t="shared" ref="BB3:BB17" si="15">IFERROR(INDEX($O$2:$O$16,BA3),"")</f>
        <v/>
      </c>
      <c r="BC3" s="32" t="str">
        <f t="shared" ref="BC3:BC17" si="16">IF(OR(COUNTIF(Hour8,$O2)&gt;0,COUNTIF(Break8,$O2)&gt;0,$O2="",IF(AND($P2&lt;&gt;"",$Q2&lt;&gt;""),OR($P2&gt;BC$1,$Q2&lt;=BC$1),FALSE)),"",$O2)</f>
        <v/>
      </c>
      <c r="BD3" s="28" t="str">
        <f>IF(BC3&lt;&gt;"",ROWS(BC$3:BC3),"")</f>
        <v/>
      </c>
      <c r="BE3" s="28" t="str">
        <f>IFERROR(SMALL(BD$3:BD$17,ROWS(BD$3:BD3)),"")</f>
        <v/>
      </c>
      <c r="BF3" s="33" t="str">
        <f t="shared" ref="BF3:BF17" si="17">IFERROR(INDEX($O$2:$O$16,BE3),"")</f>
        <v/>
      </c>
      <c r="BG3" s="32" t="str">
        <f t="shared" ref="BG3:BG17" si="18">IF(OR(COUNTIF(Hour9,$O2)&gt;0,COUNTIF(Break9,$O2)&gt;0,$O2="",IF(AND($P2&lt;&gt;"",$Q2&lt;&gt;""),OR($P2&gt;BG$1,$Q2&lt;=BG$1),FALSE)),"",$O2)</f>
        <v/>
      </c>
      <c r="BH3" s="28" t="str">
        <f>IF(BG3&lt;&gt;"",ROWS(BG$3:BG3),"")</f>
        <v/>
      </c>
      <c r="BI3" s="28" t="str">
        <f>IFERROR(SMALL(BH$3:BH$17,ROWS(BH$3:BH3)),"")</f>
        <v/>
      </c>
      <c r="BJ3" s="33" t="str">
        <f t="shared" ref="BJ3:BJ17" si="19">IFERROR(INDEX($O$2:$O$16,BI3),"")</f>
        <v/>
      </c>
      <c r="BK3" s="32" t="str">
        <f t="shared" ref="BK3:BK17" si="20">IF(OR(COUNTIF(Hour10,$O2)&gt;0,COUNTIF(Break10,$O2)&gt;0,$O2="",IF(AND($P2&lt;&gt;"",$Q2&lt;&gt;""),OR($P2&gt;BK$1,$Q2&lt;=BK$1),FALSE)),"",$O2)</f>
        <v/>
      </c>
      <c r="BL3" s="28" t="str">
        <f>IF(BK3&lt;&gt;"",ROWS(BK$3:BK3),"")</f>
        <v/>
      </c>
      <c r="BM3" s="28" t="str">
        <f>IFERROR(SMALL(BL$3:BL$17,ROWS(BL$3:BL3)),"")</f>
        <v/>
      </c>
      <c r="BN3" s="33" t="str">
        <f t="shared" ref="BN3:BN17" si="21">IFERROR(INDEX($O$2:$O$16,BM3),"")</f>
        <v/>
      </c>
      <c r="BO3" s="32" t="str">
        <f t="shared" ref="BO3:BO17" si="22">IF(OR(COUNTIF(Hour11,$O2)&gt;0,COUNTIF(Break11,$O2)&gt;0,$O2="",IF(AND($P2&lt;&gt;"",$Q2&lt;&gt;""),OR($P2&gt;BO$1,$Q2&lt;=BO$1),FALSE)),"",$O2)</f>
        <v/>
      </c>
      <c r="BP3" s="28" t="str">
        <f>IF(BO3&lt;&gt;"",ROWS(BO$3:BO3),"")</f>
        <v/>
      </c>
      <c r="BQ3" s="28" t="str">
        <f>IFERROR(SMALL(BP$3:BP$17,ROWS(BP$3:BP3)),"")</f>
        <v/>
      </c>
      <c r="BR3" s="33" t="str">
        <f t="shared" ref="BR3:BR17" si="23">IFERROR(INDEX($O$2:$O$16,BQ3),"")</f>
        <v/>
      </c>
      <c r="BS3" s="32" t="str">
        <f t="shared" ref="BS3:BS17" si="24">IF(OR(COUNTIF(Hour12,$O2)&gt;0,COUNTIF(Break12,$O2)&gt;0,$O2="",IF(AND($P2&lt;&gt;"",$Q2&lt;&gt;""),OR($P2&gt;BS$1,$Q2&lt;=BS$1),FALSE)),"",$O2)</f>
        <v/>
      </c>
      <c r="BT3" s="28" t="str">
        <f>IF(BS3&lt;&gt;"",ROWS(BS$3:BS3),"")</f>
        <v/>
      </c>
      <c r="BU3" s="28" t="str">
        <f>IFERROR(SMALL(BT$3:BT$17,ROWS(BT$3:BT3)),"")</f>
        <v/>
      </c>
      <c r="BV3" s="33" t="str">
        <f t="shared" ref="BV3:BV17" si="25">IFERROR(INDEX($O$2:$O$16,BU3),"")</f>
        <v/>
      </c>
      <c r="BX3" s="41">
        <v>0.29166666666666669</v>
      </c>
      <c r="BY3" s="41">
        <v>0.70833333333333337</v>
      </c>
      <c r="CA3" t="b">
        <f t="shared" si="0"/>
        <v>1</v>
      </c>
      <c r="CB3" t="b">
        <f t="shared" si="1"/>
        <v>1</v>
      </c>
      <c r="CD3" t="s">
        <v>73</v>
      </c>
      <c r="CE3" s="41">
        <v>0.25</v>
      </c>
      <c r="CF3" s="41">
        <v>0.75</v>
      </c>
      <c r="CG3" t="s">
        <v>2</v>
      </c>
      <c r="CH3" s="41">
        <v>0.375</v>
      </c>
      <c r="CI3" s="41">
        <v>0.58333333333333337</v>
      </c>
      <c r="CJ3">
        <v>3</v>
      </c>
      <c r="CK3" t="b">
        <v>1</v>
      </c>
      <c r="CL3">
        <v>4</v>
      </c>
      <c r="CN3" t="b">
        <v>0</v>
      </c>
      <c r="CO3" t="b">
        <v>0</v>
      </c>
      <c r="CP3" t="b">
        <v>0</v>
      </c>
      <c r="CQ3" t="b">
        <v>0</v>
      </c>
      <c r="CS3">
        <v>222</v>
      </c>
      <c r="CT3" t="s">
        <v>70</v>
      </c>
    </row>
    <row r="4" spans="1:98" ht="16.5" customHeight="1" x14ac:dyDescent="0.25">
      <c r="A4" s="48" t="s">
        <v>2</v>
      </c>
      <c r="B4" s="7" t="s">
        <v>73</v>
      </c>
      <c r="C4" s="2" t="s">
        <v>73</v>
      </c>
      <c r="D4" s="6" t="s">
        <v>73</v>
      </c>
      <c r="E4" s="7"/>
      <c r="F4" s="2" t="s">
        <v>73</v>
      </c>
      <c r="G4" s="6" t="s">
        <v>73</v>
      </c>
      <c r="H4" s="7" t="s">
        <v>73</v>
      </c>
      <c r="I4" s="2" t="s">
        <v>73</v>
      </c>
      <c r="J4" s="6"/>
      <c r="K4" s="7" t="s">
        <v>73</v>
      </c>
      <c r="L4" s="2" t="s">
        <v>73</v>
      </c>
      <c r="M4" s="6" t="s">
        <v>73</v>
      </c>
      <c r="O4" s="122" t="s">
        <v>23</v>
      </c>
      <c r="P4" s="123">
        <v>0.25</v>
      </c>
      <c r="Q4" s="123">
        <v>0.75</v>
      </c>
      <c r="R4" s="122" t="s">
        <v>3</v>
      </c>
      <c r="S4" s="124">
        <v>0.41666666666666669</v>
      </c>
      <c r="T4" s="124">
        <v>0.625</v>
      </c>
      <c r="U4" s="122"/>
      <c r="V4" s="122"/>
      <c r="W4" s="122"/>
      <c r="X4" s="122"/>
      <c r="Y4" s="122"/>
      <c r="Z4" s="116"/>
      <c r="AA4" s="32" t="str">
        <f t="shared" si="2"/>
        <v/>
      </c>
      <c r="AB4" s="28" t="str">
        <f>IF(AA4&lt;&gt;"",ROWS(AA$3:AA4),"")</f>
        <v/>
      </c>
      <c r="AC4" s="28" t="str">
        <f>IFERROR(SMALL(AB$3:AB$17,ROWS(AB$3:AB4)),"")</f>
        <v/>
      </c>
      <c r="AD4" s="33" t="str">
        <f t="shared" si="3"/>
        <v/>
      </c>
      <c r="AE4" s="32" t="str">
        <f t="shared" si="4"/>
        <v/>
      </c>
      <c r="AF4" s="28" t="str">
        <f>IF(AE4&lt;&gt;"",ROWS(AE$3:AE4),"")</f>
        <v/>
      </c>
      <c r="AG4" s="28" t="str">
        <f>IFERROR(SMALL(AF$3:AF$17,ROWS(AF$3:AF4)),"")</f>
        <v/>
      </c>
      <c r="AH4" s="33" t="str">
        <f t="shared" si="5"/>
        <v/>
      </c>
      <c r="AI4" s="32" t="str">
        <f t="shared" si="6"/>
        <v/>
      </c>
      <c r="AJ4" s="28" t="str">
        <f>IF(AI4&lt;&gt;"",ROWS(AI$3:AI4),"")</f>
        <v/>
      </c>
      <c r="AK4" s="28" t="str">
        <f>IFERROR(SMALL(AJ$3:AJ$17,ROWS(AJ$3:AJ4)),"")</f>
        <v/>
      </c>
      <c r="AL4" s="33" t="str">
        <f t="shared" si="7"/>
        <v/>
      </c>
      <c r="AM4" s="32" t="str">
        <f t="shared" si="8"/>
        <v/>
      </c>
      <c r="AN4" s="28" t="str">
        <f>IF(AM4&lt;&gt;"",ROWS(AM$3:AM4),"")</f>
        <v/>
      </c>
      <c r="AO4" s="28" t="str">
        <f>IFERROR(SMALL(AN$3:AN$17,ROWS(AN$3:AN4)),"")</f>
        <v/>
      </c>
      <c r="AP4" s="33" t="str">
        <f t="shared" si="9"/>
        <v/>
      </c>
      <c r="AQ4" s="32" t="str">
        <f t="shared" si="10"/>
        <v/>
      </c>
      <c r="AR4" s="28" t="str">
        <f>IF(AQ4&lt;&gt;"",ROWS(AQ$3:AQ4),"")</f>
        <v/>
      </c>
      <c r="AS4" s="28" t="str">
        <f>IFERROR(SMALL(AR$3:AR$17,ROWS(AR$3:AR4)),"")</f>
        <v/>
      </c>
      <c r="AT4" s="33" t="str">
        <f t="shared" si="11"/>
        <v/>
      </c>
      <c r="AU4" s="32" t="str">
        <f t="shared" si="12"/>
        <v/>
      </c>
      <c r="AV4" s="28" t="str">
        <f>IF(AU4&lt;&gt;"",ROWS(AU$3:AU4),"")</f>
        <v/>
      </c>
      <c r="AW4" s="28" t="str">
        <f>IFERROR(SMALL(AV$3:AV$17,ROWS(AV$3:AV4)),"")</f>
        <v/>
      </c>
      <c r="AX4" s="33" t="str">
        <f t="shared" si="13"/>
        <v/>
      </c>
      <c r="AY4" s="32" t="str">
        <f t="shared" si="14"/>
        <v/>
      </c>
      <c r="AZ4" s="28" t="str">
        <f>IF(AY4&lt;&gt;"",ROWS(AY$3:AY4),"")</f>
        <v/>
      </c>
      <c r="BA4" s="28" t="str">
        <f>IFERROR(SMALL(AZ$3:AZ$17,ROWS(AZ$3:AZ4)),"")</f>
        <v/>
      </c>
      <c r="BB4" s="33" t="str">
        <f t="shared" si="15"/>
        <v/>
      </c>
      <c r="BC4" s="32" t="str">
        <f t="shared" si="16"/>
        <v/>
      </c>
      <c r="BD4" s="28" t="str">
        <f>IF(BC4&lt;&gt;"",ROWS(BC$3:BC4),"")</f>
        <v/>
      </c>
      <c r="BE4" s="28" t="str">
        <f>IFERROR(SMALL(BD$3:BD$17,ROWS(BD$3:BD4)),"")</f>
        <v/>
      </c>
      <c r="BF4" s="33" t="str">
        <f t="shared" si="17"/>
        <v/>
      </c>
      <c r="BG4" s="32" t="str">
        <f t="shared" si="18"/>
        <v/>
      </c>
      <c r="BH4" s="28" t="str">
        <f>IF(BG4&lt;&gt;"",ROWS(BG$3:BG4),"")</f>
        <v/>
      </c>
      <c r="BI4" s="28" t="str">
        <f>IFERROR(SMALL(BH$3:BH$17,ROWS(BH$3:BH4)),"")</f>
        <v/>
      </c>
      <c r="BJ4" s="33" t="str">
        <f t="shared" si="19"/>
        <v/>
      </c>
      <c r="BK4" s="32" t="str">
        <f t="shared" si="20"/>
        <v/>
      </c>
      <c r="BL4" s="28" t="str">
        <f>IF(BK4&lt;&gt;"",ROWS(BK$3:BK4),"")</f>
        <v/>
      </c>
      <c r="BM4" s="28" t="str">
        <f>IFERROR(SMALL(BL$3:BL$17,ROWS(BL$3:BL4)),"")</f>
        <v/>
      </c>
      <c r="BN4" s="33" t="str">
        <f t="shared" si="21"/>
        <v/>
      </c>
      <c r="BO4" s="32" t="str">
        <f t="shared" si="22"/>
        <v/>
      </c>
      <c r="BP4" s="28" t="str">
        <f>IF(BO4&lt;&gt;"",ROWS(BO$3:BO4),"")</f>
        <v/>
      </c>
      <c r="BQ4" s="28" t="str">
        <f>IFERROR(SMALL(BP$3:BP$17,ROWS(BP$3:BP4)),"")</f>
        <v/>
      </c>
      <c r="BR4" s="33" t="str">
        <f t="shared" si="23"/>
        <v/>
      </c>
      <c r="BS4" s="32" t="str">
        <f t="shared" si="24"/>
        <v/>
      </c>
      <c r="BT4" s="28" t="str">
        <f>IF(BS4&lt;&gt;"",ROWS(BS$3:BS4),"")</f>
        <v/>
      </c>
      <c r="BU4" s="28" t="str">
        <f>IFERROR(SMALL(BT$3:BT$17,ROWS(BT$3:BT4)),"")</f>
        <v/>
      </c>
      <c r="BV4" s="33" t="str">
        <f t="shared" si="25"/>
        <v/>
      </c>
      <c r="BX4" s="41">
        <v>0.33333333333333331</v>
      </c>
      <c r="BY4" s="41">
        <v>0.66666666666666663</v>
      </c>
      <c r="CA4" t="b">
        <f t="shared" si="0"/>
        <v>1</v>
      </c>
      <c r="CB4" t="b">
        <f t="shared" si="1"/>
        <v>1</v>
      </c>
      <c r="CD4" t="s">
        <v>23</v>
      </c>
      <c r="CE4" s="41">
        <v>0.25</v>
      </c>
      <c r="CF4" s="41">
        <v>0.75</v>
      </c>
      <c r="CG4" t="s">
        <v>3</v>
      </c>
      <c r="CH4" s="41">
        <v>0.41666666666666669</v>
      </c>
      <c r="CI4" s="41">
        <v>0.625</v>
      </c>
      <c r="CJ4">
        <v>4</v>
      </c>
      <c r="CK4" t="b">
        <v>1</v>
      </c>
      <c r="CL4">
        <v>6</v>
      </c>
      <c r="CN4" t="b">
        <v>0</v>
      </c>
      <c r="CO4" t="b">
        <v>0</v>
      </c>
      <c r="CP4" t="b">
        <v>0</v>
      </c>
      <c r="CQ4" t="b">
        <v>0</v>
      </c>
      <c r="CS4">
        <v>179</v>
      </c>
    </row>
    <row r="5" spans="1:98" ht="16.5" customHeight="1" x14ac:dyDescent="0.25">
      <c r="A5" s="48" t="s">
        <v>2</v>
      </c>
      <c r="B5" s="7"/>
      <c r="C5" s="2"/>
      <c r="D5" s="6"/>
      <c r="E5" s="7"/>
      <c r="F5" s="2"/>
      <c r="G5" s="6"/>
      <c r="H5" s="7"/>
      <c r="I5" s="2"/>
      <c r="J5" s="6"/>
      <c r="K5" s="7"/>
      <c r="L5" s="2"/>
      <c r="M5" s="6"/>
      <c r="N5" s="73"/>
      <c r="O5" s="122" t="s">
        <v>74</v>
      </c>
      <c r="P5" s="123">
        <v>0.25</v>
      </c>
      <c r="Q5" s="123">
        <v>0.75</v>
      </c>
      <c r="R5" s="122" t="s">
        <v>3</v>
      </c>
      <c r="S5" s="124">
        <v>0.33333333333333331</v>
      </c>
      <c r="T5" s="124">
        <v>0.54166666666666663</v>
      </c>
      <c r="U5" s="122"/>
      <c r="V5" s="122"/>
      <c r="W5" s="122"/>
      <c r="X5" s="122"/>
      <c r="Y5" s="122"/>
      <c r="Z5" s="116"/>
      <c r="AA5" s="32" t="str">
        <f t="shared" si="2"/>
        <v/>
      </c>
      <c r="AB5" s="28" t="str">
        <f>IF(AA5&lt;&gt;"",ROWS(AA$3:AA5),"")</f>
        <v/>
      </c>
      <c r="AC5" s="28" t="str">
        <f>IFERROR(SMALL(AB$3:AB$17,ROWS(AB$3:AB5)),"")</f>
        <v/>
      </c>
      <c r="AD5" s="33" t="str">
        <f t="shared" si="3"/>
        <v/>
      </c>
      <c r="AE5" s="32" t="str">
        <f t="shared" si="4"/>
        <v/>
      </c>
      <c r="AF5" s="28" t="str">
        <f>IF(AE5&lt;&gt;"",ROWS(AE$3:AE5),"")</f>
        <v/>
      </c>
      <c r="AG5" s="28" t="str">
        <f>IFERROR(SMALL(AF$3:AF$17,ROWS(AF$3:AF5)),"")</f>
        <v/>
      </c>
      <c r="AH5" s="33" t="str">
        <f t="shared" si="5"/>
        <v/>
      </c>
      <c r="AI5" s="32" t="str">
        <f t="shared" si="6"/>
        <v/>
      </c>
      <c r="AJ5" s="28" t="str">
        <f>IF(AI5&lt;&gt;"",ROWS(AI$3:AI5),"")</f>
        <v/>
      </c>
      <c r="AK5" s="28" t="str">
        <f>IFERROR(SMALL(AJ$3:AJ$17,ROWS(AJ$3:AJ5)),"")</f>
        <v/>
      </c>
      <c r="AL5" s="33" t="str">
        <f t="shared" si="7"/>
        <v/>
      </c>
      <c r="AM5" s="32" t="str">
        <f t="shared" si="8"/>
        <v/>
      </c>
      <c r="AN5" s="28" t="str">
        <f>IF(AM5&lt;&gt;"",ROWS(AM$3:AM5),"")</f>
        <v/>
      </c>
      <c r="AO5" s="28" t="str">
        <f>IFERROR(SMALL(AN$3:AN$17,ROWS(AN$3:AN5)),"")</f>
        <v/>
      </c>
      <c r="AP5" s="33" t="str">
        <f t="shared" si="9"/>
        <v/>
      </c>
      <c r="AQ5" s="32" t="str">
        <f t="shared" si="10"/>
        <v/>
      </c>
      <c r="AR5" s="28" t="str">
        <f>IF(AQ5&lt;&gt;"",ROWS(AQ$3:AQ5),"")</f>
        <v/>
      </c>
      <c r="AS5" s="28" t="str">
        <f>IFERROR(SMALL(AR$3:AR$17,ROWS(AR$3:AR5)),"")</f>
        <v/>
      </c>
      <c r="AT5" s="33" t="str">
        <f t="shared" si="11"/>
        <v/>
      </c>
      <c r="AU5" s="32" t="str">
        <f t="shared" si="12"/>
        <v/>
      </c>
      <c r="AV5" s="28" t="str">
        <f>IF(AU5&lt;&gt;"",ROWS(AU$3:AU5),"")</f>
        <v/>
      </c>
      <c r="AW5" s="28" t="str">
        <f>IFERROR(SMALL(AV$3:AV$17,ROWS(AV$3:AV5)),"")</f>
        <v/>
      </c>
      <c r="AX5" s="33" t="str">
        <f t="shared" si="13"/>
        <v/>
      </c>
      <c r="AY5" s="32" t="str">
        <f t="shared" si="14"/>
        <v/>
      </c>
      <c r="AZ5" s="28" t="str">
        <f>IF(AY5&lt;&gt;"",ROWS(AY$3:AY5),"")</f>
        <v/>
      </c>
      <c r="BA5" s="28" t="str">
        <f>IFERROR(SMALL(AZ$3:AZ$17,ROWS(AZ$3:AZ5)),"")</f>
        <v/>
      </c>
      <c r="BB5" s="33" t="str">
        <f t="shared" si="15"/>
        <v/>
      </c>
      <c r="BC5" s="32" t="str">
        <f t="shared" si="16"/>
        <v/>
      </c>
      <c r="BD5" s="28" t="str">
        <f>IF(BC5&lt;&gt;"",ROWS(BC$3:BC5),"")</f>
        <v/>
      </c>
      <c r="BE5" s="28" t="str">
        <f>IFERROR(SMALL(BD$3:BD$17,ROWS(BD$3:BD5)),"")</f>
        <v/>
      </c>
      <c r="BF5" s="33" t="str">
        <f t="shared" si="17"/>
        <v/>
      </c>
      <c r="BG5" s="32" t="str">
        <f t="shared" si="18"/>
        <v/>
      </c>
      <c r="BH5" s="28" t="str">
        <f>IF(BG5&lt;&gt;"",ROWS(BG$3:BG5),"")</f>
        <v/>
      </c>
      <c r="BI5" s="28" t="str">
        <f>IFERROR(SMALL(BH$3:BH$17,ROWS(BH$3:BH5)),"")</f>
        <v/>
      </c>
      <c r="BJ5" s="33" t="str">
        <f t="shared" si="19"/>
        <v/>
      </c>
      <c r="BK5" s="32" t="str">
        <f t="shared" si="20"/>
        <v/>
      </c>
      <c r="BL5" s="28" t="str">
        <f>IF(BK5&lt;&gt;"",ROWS(BK$3:BK5),"")</f>
        <v/>
      </c>
      <c r="BM5" s="28" t="str">
        <f>IFERROR(SMALL(BL$3:BL$17,ROWS(BL$3:BL5)),"")</f>
        <v/>
      </c>
      <c r="BN5" s="33" t="str">
        <f t="shared" si="21"/>
        <v/>
      </c>
      <c r="BO5" s="32" t="str">
        <f t="shared" si="22"/>
        <v/>
      </c>
      <c r="BP5" s="28" t="str">
        <f>IF(BO5&lt;&gt;"",ROWS(BO$3:BO5),"")</f>
        <v/>
      </c>
      <c r="BQ5" s="28" t="str">
        <f>IFERROR(SMALL(BP$3:BP$17,ROWS(BP$3:BP5)),"")</f>
        <v/>
      </c>
      <c r="BR5" s="33" t="str">
        <f t="shared" si="23"/>
        <v/>
      </c>
      <c r="BS5" s="32" t="str">
        <f t="shared" si="24"/>
        <v/>
      </c>
      <c r="BT5" s="28" t="str">
        <f>IF(BS5&lt;&gt;"",ROWS(BS$3:BS5),"")</f>
        <v/>
      </c>
      <c r="BU5" s="28" t="str">
        <f>IFERROR(SMALL(BT$3:BT$17,ROWS(BT$3:BT5)),"")</f>
        <v/>
      </c>
      <c r="BV5" s="33" t="str">
        <f t="shared" si="25"/>
        <v/>
      </c>
      <c r="BX5" s="41">
        <v>0.375</v>
      </c>
      <c r="BY5" s="41">
        <v>0.625</v>
      </c>
      <c r="CA5" t="b">
        <f t="shared" si="0"/>
        <v>1</v>
      </c>
      <c r="CB5" t="b">
        <f t="shared" si="1"/>
        <v>1</v>
      </c>
      <c r="CD5" t="s">
        <v>74</v>
      </c>
      <c r="CE5" s="41">
        <v>0.25</v>
      </c>
      <c r="CF5" s="41">
        <v>0.75</v>
      </c>
      <c r="CG5" t="s">
        <v>3</v>
      </c>
      <c r="CH5" s="41">
        <v>0.33333333333333331</v>
      </c>
      <c r="CI5" s="41">
        <v>0.54166666666666663</v>
      </c>
      <c r="CJ5">
        <v>5</v>
      </c>
      <c r="CK5" t="b">
        <v>1</v>
      </c>
      <c r="CL5">
        <v>7</v>
      </c>
      <c r="CN5" t="b">
        <v>0</v>
      </c>
      <c r="CO5" t="b">
        <v>0</v>
      </c>
      <c r="CP5" t="b">
        <v>0</v>
      </c>
      <c r="CQ5" t="b">
        <v>0</v>
      </c>
      <c r="CS5">
        <v>255</v>
      </c>
    </row>
    <row r="6" spans="1:98" ht="16.5" customHeight="1" x14ac:dyDescent="0.25">
      <c r="A6" s="49" t="s">
        <v>3</v>
      </c>
      <c r="B6" s="8" t="s">
        <v>23</v>
      </c>
      <c r="C6" s="3" t="s">
        <v>23</v>
      </c>
      <c r="D6" s="9" t="s">
        <v>23</v>
      </c>
      <c r="E6" s="8" t="s">
        <v>23</v>
      </c>
      <c r="F6" s="3"/>
      <c r="G6" s="9" t="s">
        <v>23</v>
      </c>
      <c r="H6" s="8" t="s">
        <v>23</v>
      </c>
      <c r="I6" s="3" t="s">
        <v>23</v>
      </c>
      <c r="J6" s="9" t="s">
        <v>23</v>
      </c>
      <c r="K6" s="8"/>
      <c r="L6" s="3" t="s">
        <v>23</v>
      </c>
      <c r="M6" s="9" t="s">
        <v>23</v>
      </c>
      <c r="N6" s="73"/>
      <c r="O6" s="125" t="s">
        <v>75</v>
      </c>
      <c r="P6" s="126">
        <v>0.25</v>
      </c>
      <c r="Q6" s="126">
        <v>0.75</v>
      </c>
      <c r="R6" s="125" t="s">
        <v>4</v>
      </c>
      <c r="S6" s="127">
        <v>0.375</v>
      </c>
      <c r="T6" s="127">
        <v>0.58333333333333337</v>
      </c>
      <c r="U6" s="125"/>
      <c r="V6" s="125"/>
      <c r="W6" s="125"/>
      <c r="X6" s="125"/>
      <c r="Y6" s="125"/>
      <c r="AA6" s="32" t="str">
        <f t="shared" si="2"/>
        <v/>
      </c>
      <c r="AB6" s="28" t="str">
        <f>IF(AA6&lt;&gt;"",ROWS(AA$3:AA6),"")</f>
        <v/>
      </c>
      <c r="AC6" s="28" t="str">
        <f>IFERROR(SMALL(AB$3:AB$17,ROWS(AB$3:AB6)),"")</f>
        <v/>
      </c>
      <c r="AD6" s="33" t="str">
        <f t="shared" si="3"/>
        <v/>
      </c>
      <c r="AE6" s="32" t="str">
        <f t="shared" si="4"/>
        <v/>
      </c>
      <c r="AF6" s="28" t="str">
        <f>IF(AE6&lt;&gt;"",ROWS(AE$3:AE6),"")</f>
        <v/>
      </c>
      <c r="AG6" s="28" t="str">
        <f>IFERROR(SMALL(AF$3:AF$17,ROWS(AF$3:AF6)),"")</f>
        <v/>
      </c>
      <c r="AH6" s="33" t="str">
        <f t="shared" si="5"/>
        <v/>
      </c>
      <c r="AI6" s="32" t="str">
        <f t="shared" si="6"/>
        <v/>
      </c>
      <c r="AJ6" s="28" t="str">
        <f>IF(AI6&lt;&gt;"",ROWS(AI$3:AI6),"")</f>
        <v/>
      </c>
      <c r="AK6" s="28" t="str">
        <f>IFERROR(SMALL(AJ$3:AJ$17,ROWS(AJ$3:AJ6)),"")</f>
        <v/>
      </c>
      <c r="AL6" s="33" t="str">
        <f t="shared" si="7"/>
        <v/>
      </c>
      <c r="AM6" s="32" t="str">
        <f t="shared" si="8"/>
        <v/>
      </c>
      <c r="AN6" s="28" t="str">
        <f>IF(AM6&lt;&gt;"",ROWS(AM$3:AM6),"")</f>
        <v/>
      </c>
      <c r="AO6" s="28" t="str">
        <f>IFERROR(SMALL(AN$3:AN$17,ROWS(AN$3:AN6)),"")</f>
        <v/>
      </c>
      <c r="AP6" s="33" t="str">
        <f t="shared" si="9"/>
        <v/>
      </c>
      <c r="AQ6" s="32" t="str">
        <f t="shared" si="10"/>
        <v/>
      </c>
      <c r="AR6" s="28" t="str">
        <f>IF(AQ6&lt;&gt;"",ROWS(AQ$3:AQ6),"")</f>
        <v/>
      </c>
      <c r="AS6" s="28" t="str">
        <f>IFERROR(SMALL(AR$3:AR$17,ROWS(AR$3:AR6)),"")</f>
        <v/>
      </c>
      <c r="AT6" s="33" t="str">
        <f t="shared" si="11"/>
        <v/>
      </c>
      <c r="AU6" s="32" t="str">
        <f t="shared" si="12"/>
        <v/>
      </c>
      <c r="AV6" s="28" t="str">
        <f>IF(AU6&lt;&gt;"",ROWS(AU$3:AU6),"")</f>
        <v/>
      </c>
      <c r="AW6" s="28" t="str">
        <f>IFERROR(SMALL(AV$3:AV$17,ROWS(AV$3:AV6)),"")</f>
        <v/>
      </c>
      <c r="AX6" s="33" t="str">
        <f t="shared" si="13"/>
        <v/>
      </c>
      <c r="AY6" s="32" t="str">
        <f t="shared" si="14"/>
        <v/>
      </c>
      <c r="AZ6" s="28" t="str">
        <f>IF(AY6&lt;&gt;"",ROWS(AY$3:AY6),"")</f>
        <v/>
      </c>
      <c r="BA6" s="28" t="str">
        <f>IFERROR(SMALL(AZ$3:AZ$17,ROWS(AZ$3:AZ6)),"")</f>
        <v/>
      </c>
      <c r="BB6" s="33" t="str">
        <f t="shared" si="15"/>
        <v/>
      </c>
      <c r="BC6" s="32" t="str">
        <f t="shared" si="16"/>
        <v/>
      </c>
      <c r="BD6" s="28" t="str">
        <f>IF(BC6&lt;&gt;"",ROWS(BC$3:BC6),"")</f>
        <v/>
      </c>
      <c r="BE6" s="28" t="str">
        <f>IFERROR(SMALL(BD$3:BD$17,ROWS(BD$3:BD6)),"")</f>
        <v/>
      </c>
      <c r="BF6" s="33" t="str">
        <f t="shared" si="17"/>
        <v/>
      </c>
      <c r="BG6" s="32" t="str">
        <f t="shared" si="18"/>
        <v/>
      </c>
      <c r="BH6" s="28" t="str">
        <f>IF(BG6&lt;&gt;"",ROWS(BG$3:BG6),"")</f>
        <v/>
      </c>
      <c r="BI6" s="28" t="str">
        <f>IFERROR(SMALL(BH$3:BH$17,ROWS(BH$3:BH6)),"")</f>
        <v/>
      </c>
      <c r="BJ6" s="33" t="str">
        <f t="shared" si="19"/>
        <v/>
      </c>
      <c r="BK6" s="32" t="str">
        <f t="shared" si="20"/>
        <v/>
      </c>
      <c r="BL6" s="28" t="str">
        <f>IF(BK6&lt;&gt;"",ROWS(BK$3:BK6),"")</f>
        <v/>
      </c>
      <c r="BM6" s="28" t="str">
        <f>IFERROR(SMALL(BL$3:BL$17,ROWS(BL$3:BL6)),"")</f>
        <v/>
      </c>
      <c r="BN6" s="33" t="str">
        <f t="shared" si="21"/>
        <v/>
      </c>
      <c r="BO6" s="32" t="str">
        <f t="shared" si="22"/>
        <v/>
      </c>
      <c r="BP6" s="28" t="str">
        <f>IF(BO6&lt;&gt;"",ROWS(BO$3:BO6),"")</f>
        <v/>
      </c>
      <c r="BQ6" s="28" t="str">
        <f>IFERROR(SMALL(BP$3:BP$17,ROWS(BP$3:BP6)),"")</f>
        <v/>
      </c>
      <c r="BR6" s="33" t="str">
        <f t="shared" si="23"/>
        <v/>
      </c>
      <c r="BS6" s="32" t="str">
        <f t="shared" si="24"/>
        <v/>
      </c>
      <c r="BT6" s="28" t="str">
        <f>IF(BS6&lt;&gt;"",ROWS(BS$3:BS6),"")</f>
        <v/>
      </c>
      <c r="BU6" s="28" t="str">
        <f>IFERROR(SMALL(BT$3:BT$17,ROWS(BT$3:BT6)),"")</f>
        <v/>
      </c>
      <c r="BV6" s="33" t="str">
        <f t="shared" si="25"/>
        <v/>
      </c>
      <c r="BX6" s="41">
        <v>0.41666666666666669</v>
      </c>
      <c r="BY6" s="41">
        <v>0.58333333333333337</v>
      </c>
      <c r="CA6" t="b">
        <f t="shared" si="0"/>
        <v>1</v>
      </c>
      <c r="CB6" t="b">
        <f t="shared" si="1"/>
        <v>1</v>
      </c>
      <c r="CD6" t="s">
        <v>75</v>
      </c>
      <c r="CE6" s="41">
        <v>0.25</v>
      </c>
      <c r="CF6" s="41">
        <v>0.75</v>
      </c>
      <c r="CG6" t="s">
        <v>4</v>
      </c>
      <c r="CH6" s="41">
        <v>0.375</v>
      </c>
      <c r="CI6" s="41">
        <v>0.58333333333333337</v>
      </c>
      <c r="CJ6">
        <v>6</v>
      </c>
      <c r="CK6" t="b">
        <v>1</v>
      </c>
      <c r="CL6">
        <v>9</v>
      </c>
      <c r="CN6" t="b">
        <v>0</v>
      </c>
      <c r="CO6" t="b">
        <v>0</v>
      </c>
      <c r="CP6" t="b">
        <v>0</v>
      </c>
      <c r="CQ6" t="b">
        <v>0</v>
      </c>
    </row>
    <row r="7" spans="1:98" ht="16.5" customHeight="1" x14ac:dyDescent="0.25">
      <c r="A7" s="49" t="s">
        <v>3</v>
      </c>
      <c r="B7" s="8" t="s">
        <v>74</v>
      </c>
      <c r="C7" s="3" t="s">
        <v>74</v>
      </c>
      <c r="D7" s="9"/>
      <c r="E7" s="8" t="s">
        <v>74</v>
      </c>
      <c r="F7" s="3" t="s">
        <v>74</v>
      </c>
      <c r="G7" s="9" t="s">
        <v>74</v>
      </c>
      <c r="H7" s="8" t="s">
        <v>74</v>
      </c>
      <c r="I7" s="3"/>
      <c r="J7" s="9" t="s">
        <v>74</v>
      </c>
      <c r="K7" s="8" t="s">
        <v>74</v>
      </c>
      <c r="L7" s="3" t="s">
        <v>74</v>
      </c>
      <c r="M7" s="9" t="s">
        <v>74</v>
      </c>
      <c r="N7" s="73"/>
      <c r="O7" s="125" t="s">
        <v>76</v>
      </c>
      <c r="P7" s="126">
        <v>0.25</v>
      </c>
      <c r="Q7" s="126">
        <v>0.75</v>
      </c>
      <c r="R7" s="125" t="s">
        <v>4</v>
      </c>
      <c r="S7" s="127">
        <v>0.41666666666666669</v>
      </c>
      <c r="T7" s="127">
        <v>0.625</v>
      </c>
      <c r="U7" s="125"/>
      <c r="V7" s="125"/>
      <c r="W7" s="125"/>
      <c r="X7" s="125"/>
      <c r="Y7" s="125"/>
      <c r="Z7" s="116"/>
      <c r="AA7" s="32" t="str">
        <f t="shared" si="2"/>
        <v/>
      </c>
      <c r="AB7" s="28" t="str">
        <f>IF(AA7&lt;&gt;"",ROWS(AA$3:AA7),"")</f>
        <v/>
      </c>
      <c r="AC7" s="28" t="str">
        <f>IFERROR(SMALL(AB$3:AB$17,ROWS(AB$3:AB7)),"")</f>
        <v/>
      </c>
      <c r="AD7" s="33" t="str">
        <f t="shared" si="3"/>
        <v/>
      </c>
      <c r="AE7" s="32" t="str">
        <f t="shared" si="4"/>
        <v/>
      </c>
      <c r="AF7" s="28" t="str">
        <f>IF(AE7&lt;&gt;"",ROWS(AE$3:AE7),"")</f>
        <v/>
      </c>
      <c r="AG7" s="28" t="str">
        <f>IFERROR(SMALL(AF$3:AF$17,ROWS(AF$3:AF7)),"")</f>
        <v/>
      </c>
      <c r="AH7" s="33" t="str">
        <f t="shared" si="5"/>
        <v/>
      </c>
      <c r="AI7" s="32" t="str">
        <f t="shared" si="6"/>
        <v/>
      </c>
      <c r="AJ7" s="28" t="str">
        <f>IF(AI7&lt;&gt;"",ROWS(AI$3:AI7),"")</f>
        <v/>
      </c>
      <c r="AK7" s="28" t="str">
        <f>IFERROR(SMALL(AJ$3:AJ$17,ROWS(AJ$3:AJ7)),"")</f>
        <v/>
      </c>
      <c r="AL7" s="33" t="str">
        <f t="shared" si="7"/>
        <v/>
      </c>
      <c r="AM7" s="32" t="str">
        <f t="shared" si="8"/>
        <v/>
      </c>
      <c r="AN7" s="28" t="str">
        <f>IF(AM7&lt;&gt;"",ROWS(AM$3:AM7),"")</f>
        <v/>
      </c>
      <c r="AO7" s="28" t="str">
        <f>IFERROR(SMALL(AN$3:AN$17,ROWS(AN$3:AN7)),"")</f>
        <v/>
      </c>
      <c r="AP7" s="33" t="str">
        <f t="shared" si="9"/>
        <v/>
      </c>
      <c r="AQ7" s="32" t="str">
        <f t="shared" si="10"/>
        <v/>
      </c>
      <c r="AR7" s="28" t="str">
        <f>IF(AQ7&lt;&gt;"",ROWS(AQ$3:AQ7),"")</f>
        <v/>
      </c>
      <c r="AS7" s="28" t="str">
        <f>IFERROR(SMALL(AR$3:AR$17,ROWS(AR$3:AR7)),"")</f>
        <v/>
      </c>
      <c r="AT7" s="33" t="str">
        <f t="shared" si="11"/>
        <v/>
      </c>
      <c r="AU7" s="32" t="str">
        <f t="shared" si="12"/>
        <v/>
      </c>
      <c r="AV7" s="28" t="str">
        <f>IF(AU7&lt;&gt;"",ROWS(AU$3:AU7),"")</f>
        <v/>
      </c>
      <c r="AW7" s="28" t="str">
        <f>IFERROR(SMALL(AV$3:AV$17,ROWS(AV$3:AV7)),"")</f>
        <v/>
      </c>
      <c r="AX7" s="33" t="str">
        <f t="shared" si="13"/>
        <v/>
      </c>
      <c r="AY7" s="32" t="str">
        <f t="shared" si="14"/>
        <v/>
      </c>
      <c r="AZ7" s="28" t="str">
        <f>IF(AY7&lt;&gt;"",ROWS(AY$3:AY7),"")</f>
        <v/>
      </c>
      <c r="BA7" s="28" t="str">
        <f>IFERROR(SMALL(AZ$3:AZ$17,ROWS(AZ$3:AZ7)),"")</f>
        <v/>
      </c>
      <c r="BB7" s="33" t="str">
        <f t="shared" si="15"/>
        <v/>
      </c>
      <c r="BC7" s="32" t="str">
        <f t="shared" si="16"/>
        <v/>
      </c>
      <c r="BD7" s="28" t="str">
        <f>IF(BC7&lt;&gt;"",ROWS(BC$3:BC7),"")</f>
        <v/>
      </c>
      <c r="BE7" s="28" t="str">
        <f>IFERROR(SMALL(BD$3:BD$17,ROWS(BD$3:BD7)),"")</f>
        <v/>
      </c>
      <c r="BF7" s="33" t="str">
        <f t="shared" si="17"/>
        <v/>
      </c>
      <c r="BG7" s="32" t="str">
        <f t="shared" si="18"/>
        <v/>
      </c>
      <c r="BH7" s="28" t="str">
        <f>IF(BG7&lt;&gt;"",ROWS(BG$3:BG7),"")</f>
        <v/>
      </c>
      <c r="BI7" s="28" t="str">
        <f>IFERROR(SMALL(BH$3:BH$17,ROWS(BH$3:BH7)),"")</f>
        <v/>
      </c>
      <c r="BJ7" s="33" t="str">
        <f t="shared" si="19"/>
        <v/>
      </c>
      <c r="BK7" s="32" t="str">
        <f t="shared" si="20"/>
        <v/>
      </c>
      <c r="BL7" s="28" t="str">
        <f>IF(BK7&lt;&gt;"",ROWS(BK$3:BK7),"")</f>
        <v/>
      </c>
      <c r="BM7" s="28" t="str">
        <f>IFERROR(SMALL(BL$3:BL$17,ROWS(BL$3:BL7)),"")</f>
        <v/>
      </c>
      <c r="BN7" s="33" t="str">
        <f t="shared" si="21"/>
        <v/>
      </c>
      <c r="BO7" s="32" t="str">
        <f t="shared" si="22"/>
        <v/>
      </c>
      <c r="BP7" s="28" t="str">
        <f>IF(BO7&lt;&gt;"",ROWS(BO$3:BO7),"")</f>
        <v/>
      </c>
      <c r="BQ7" s="28" t="str">
        <f>IFERROR(SMALL(BP$3:BP$17,ROWS(BP$3:BP7)),"")</f>
        <v/>
      </c>
      <c r="BR7" s="33" t="str">
        <f t="shared" si="23"/>
        <v/>
      </c>
      <c r="BS7" s="32" t="str">
        <f t="shared" si="24"/>
        <v/>
      </c>
      <c r="BT7" s="28" t="str">
        <f>IF(BS7&lt;&gt;"",ROWS(BS$3:BS7),"")</f>
        <v/>
      </c>
      <c r="BU7" s="28" t="str">
        <f>IFERROR(SMALL(BT$3:BT$17,ROWS(BT$3:BT7)),"")</f>
        <v/>
      </c>
      <c r="BV7" s="33" t="str">
        <f t="shared" si="25"/>
        <v/>
      </c>
      <c r="BX7" s="41">
        <v>0.45833333333333331</v>
      </c>
      <c r="BY7" s="41">
        <v>0.54166666666666663</v>
      </c>
      <c r="CA7" t="b">
        <f t="shared" si="0"/>
        <v>1</v>
      </c>
      <c r="CB7" t="b">
        <f t="shared" si="1"/>
        <v>1</v>
      </c>
      <c r="CD7" t="s">
        <v>76</v>
      </c>
      <c r="CE7" s="41">
        <v>0.25</v>
      </c>
      <c r="CF7" s="41">
        <v>0.75</v>
      </c>
      <c r="CG7" t="s">
        <v>4</v>
      </c>
      <c r="CH7" s="41">
        <v>0.41666666666666669</v>
      </c>
      <c r="CI7" s="41">
        <v>0.625</v>
      </c>
      <c r="CJ7">
        <v>7</v>
      </c>
      <c r="CK7" t="b">
        <v>1</v>
      </c>
      <c r="CL7">
        <v>10</v>
      </c>
      <c r="CN7" t="b">
        <v>0</v>
      </c>
      <c r="CO7" t="b">
        <v>0</v>
      </c>
      <c r="CP7" t="b">
        <v>0</v>
      </c>
      <c r="CQ7" t="b">
        <v>0</v>
      </c>
    </row>
    <row r="8" spans="1:98" ht="16.5" customHeight="1" x14ac:dyDescent="0.25">
      <c r="A8" s="49" t="s">
        <v>3</v>
      </c>
      <c r="B8" s="8"/>
      <c r="C8" s="3"/>
      <c r="D8" s="9"/>
      <c r="E8" s="8"/>
      <c r="F8" s="3"/>
      <c r="G8" s="9"/>
      <c r="H8" s="8"/>
      <c r="I8" s="3"/>
      <c r="J8" s="9"/>
      <c r="K8" s="8"/>
      <c r="L8" s="3"/>
      <c r="M8" s="9"/>
      <c r="N8" s="73"/>
      <c r="O8" s="128" t="s">
        <v>77</v>
      </c>
      <c r="P8" s="129">
        <v>0.25</v>
      </c>
      <c r="Q8" s="129">
        <v>0.75</v>
      </c>
      <c r="R8" s="128" t="s">
        <v>5</v>
      </c>
      <c r="S8" s="130">
        <v>0.375</v>
      </c>
      <c r="T8" s="130">
        <v>0.58333333333333337</v>
      </c>
      <c r="U8" s="128"/>
      <c r="V8" s="128"/>
      <c r="W8" s="128"/>
      <c r="X8" s="128"/>
      <c r="Y8" s="128"/>
      <c r="Z8" s="116"/>
      <c r="AA8" s="32" t="str">
        <f t="shared" si="2"/>
        <v/>
      </c>
      <c r="AB8" s="28" t="str">
        <f>IF(AA8&lt;&gt;"",ROWS(AA$3:AA8),"")</f>
        <v/>
      </c>
      <c r="AC8" s="28" t="str">
        <f>IFERROR(SMALL(AB$3:AB$17,ROWS(AB$3:AB8)),"")</f>
        <v/>
      </c>
      <c r="AD8" s="33" t="str">
        <f t="shared" si="3"/>
        <v/>
      </c>
      <c r="AE8" s="32" t="str">
        <f t="shared" si="4"/>
        <v/>
      </c>
      <c r="AF8" s="28" t="str">
        <f>IF(AE8&lt;&gt;"",ROWS(AE$3:AE8),"")</f>
        <v/>
      </c>
      <c r="AG8" s="28" t="str">
        <f>IFERROR(SMALL(AF$3:AF$17,ROWS(AF$3:AF8)),"")</f>
        <v/>
      </c>
      <c r="AH8" s="33" t="str">
        <f t="shared" si="5"/>
        <v/>
      </c>
      <c r="AI8" s="32" t="str">
        <f t="shared" si="6"/>
        <v/>
      </c>
      <c r="AJ8" s="28" t="str">
        <f>IF(AI8&lt;&gt;"",ROWS(AI$3:AI8),"")</f>
        <v/>
      </c>
      <c r="AK8" s="28" t="str">
        <f>IFERROR(SMALL(AJ$3:AJ$17,ROWS(AJ$3:AJ8)),"")</f>
        <v/>
      </c>
      <c r="AL8" s="33" t="str">
        <f t="shared" si="7"/>
        <v/>
      </c>
      <c r="AM8" s="32" t="str">
        <f t="shared" si="8"/>
        <v/>
      </c>
      <c r="AN8" s="28" t="str">
        <f>IF(AM8&lt;&gt;"",ROWS(AM$3:AM8),"")</f>
        <v/>
      </c>
      <c r="AO8" s="28" t="str">
        <f>IFERROR(SMALL(AN$3:AN$17,ROWS(AN$3:AN8)),"")</f>
        <v/>
      </c>
      <c r="AP8" s="33" t="str">
        <f t="shared" si="9"/>
        <v/>
      </c>
      <c r="AQ8" s="32" t="str">
        <f t="shared" si="10"/>
        <v/>
      </c>
      <c r="AR8" s="28" t="str">
        <f>IF(AQ8&lt;&gt;"",ROWS(AQ$3:AQ8),"")</f>
        <v/>
      </c>
      <c r="AS8" s="28" t="str">
        <f>IFERROR(SMALL(AR$3:AR$17,ROWS(AR$3:AR8)),"")</f>
        <v/>
      </c>
      <c r="AT8" s="33" t="str">
        <f t="shared" si="11"/>
        <v/>
      </c>
      <c r="AU8" s="32" t="str">
        <f t="shared" si="12"/>
        <v/>
      </c>
      <c r="AV8" s="28" t="str">
        <f>IF(AU8&lt;&gt;"",ROWS(AU$3:AU8),"")</f>
        <v/>
      </c>
      <c r="AW8" s="28" t="str">
        <f>IFERROR(SMALL(AV$3:AV$17,ROWS(AV$3:AV8)),"")</f>
        <v/>
      </c>
      <c r="AX8" s="33" t="str">
        <f t="shared" si="13"/>
        <v/>
      </c>
      <c r="AY8" s="32" t="str">
        <f t="shared" si="14"/>
        <v/>
      </c>
      <c r="AZ8" s="28" t="str">
        <f>IF(AY8&lt;&gt;"",ROWS(AY$3:AY8),"")</f>
        <v/>
      </c>
      <c r="BA8" s="28" t="str">
        <f>IFERROR(SMALL(AZ$3:AZ$17,ROWS(AZ$3:AZ8)),"")</f>
        <v/>
      </c>
      <c r="BB8" s="33" t="str">
        <f t="shared" si="15"/>
        <v/>
      </c>
      <c r="BC8" s="32" t="str">
        <f t="shared" si="16"/>
        <v/>
      </c>
      <c r="BD8" s="28" t="str">
        <f>IF(BC8&lt;&gt;"",ROWS(BC$3:BC8),"")</f>
        <v/>
      </c>
      <c r="BE8" s="28" t="str">
        <f>IFERROR(SMALL(BD$3:BD$17,ROWS(BD$3:BD8)),"")</f>
        <v/>
      </c>
      <c r="BF8" s="33" t="str">
        <f t="shared" si="17"/>
        <v/>
      </c>
      <c r="BG8" s="32" t="str">
        <f t="shared" si="18"/>
        <v/>
      </c>
      <c r="BH8" s="28" t="str">
        <f>IF(BG8&lt;&gt;"",ROWS(BG$3:BG8),"")</f>
        <v/>
      </c>
      <c r="BI8" s="28" t="str">
        <f>IFERROR(SMALL(BH$3:BH$17,ROWS(BH$3:BH8)),"")</f>
        <v/>
      </c>
      <c r="BJ8" s="33" t="str">
        <f t="shared" si="19"/>
        <v/>
      </c>
      <c r="BK8" s="32" t="str">
        <f t="shared" si="20"/>
        <v/>
      </c>
      <c r="BL8" s="28" t="str">
        <f>IF(BK8&lt;&gt;"",ROWS(BK$3:BK8),"")</f>
        <v/>
      </c>
      <c r="BM8" s="28" t="str">
        <f>IFERROR(SMALL(BL$3:BL$17,ROWS(BL$3:BL8)),"")</f>
        <v/>
      </c>
      <c r="BN8" s="33" t="str">
        <f t="shared" si="21"/>
        <v/>
      </c>
      <c r="BO8" s="32" t="str">
        <f t="shared" si="22"/>
        <v/>
      </c>
      <c r="BP8" s="28" t="str">
        <f>IF(BO8&lt;&gt;"",ROWS(BO$3:BO8),"")</f>
        <v/>
      </c>
      <c r="BQ8" s="28" t="str">
        <f>IFERROR(SMALL(BP$3:BP$17,ROWS(BP$3:BP8)),"")</f>
        <v/>
      </c>
      <c r="BR8" s="33" t="str">
        <f t="shared" si="23"/>
        <v/>
      </c>
      <c r="BS8" s="32" t="str">
        <f t="shared" si="24"/>
        <v/>
      </c>
      <c r="BT8" s="28" t="str">
        <f>IF(BS8&lt;&gt;"",ROWS(BS$3:BS8),"")</f>
        <v/>
      </c>
      <c r="BU8" s="28" t="str">
        <f>IFERROR(SMALL(BT$3:BT$17,ROWS(BT$3:BT8)),"")</f>
        <v/>
      </c>
      <c r="BV8" s="33" t="str">
        <f t="shared" si="25"/>
        <v/>
      </c>
      <c r="BX8" s="41">
        <v>0.5</v>
      </c>
      <c r="BY8" s="41">
        <v>0.5</v>
      </c>
      <c r="CA8" t="b">
        <f t="shared" si="0"/>
        <v>1</v>
      </c>
      <c r="CB8" t="b">
        <f t="shared" si="1"/>
        <v>1</v>
      </c>
      <c r="CD8" t="s">
        <v>77</v>
      </c>
      <c r="CE8" s="41">
        <v>0.25</v>
      </c>
      <c r="CF8" s="41">
        <v>0.75</v>
      </c>
      <c r="CG8" t="s">
        <v>5</v>
      </c>
      <c r="CH8" s="41">
        <v>0.375</v>
      </c>
      <c r="CI8" s="41">
        <v>0.58333333333333337</v>
      </c>
      <c r="CJ8">
        <v>8</v>
      </c>
      <c r="CK8" t="b">
        <v>1</v>
      </c>
      <c r="CL8">
        <v>12</v>
      </c>
      <c r="CN8" t="b">
        <v>0</v>
      </c>
      <c r="CO8" t="b">
        <v>0</v>
      </c>
      <c r="CP8" t="b">
        <v>0</v>
      </c>
      <c r="CQ8" t="b">
        <v>0</v>
      </c>
    </row>
    <row r="9" spans="1:98" ht="16.5" customHeight="1" x14ac:dyDescent="0.25">
      <c r="A9" s="50" t="s">
        <v>4</v>
      </c>
      <c r="B9" s="10" t="s">
        <v>75</v>
      </c>
      <c r="C9" s="4" t="s">
        <v>75</v>
      </c>
      <c r="D9" s="11" t="s">
        <v>75</v>
      </c>
      <c r="E9" s="10"/>
      <c r="F9" s="4" t="s">
        <v>75</v>
      </c>
      <c r="G9" s="11" t="s">
        <v>75</v>
      </c>
      <c r="H9" s="10" t="s">
        <v>75</v>
      </c>
      <c r="I9" s="4" t="s">
        <v>75</v>
      </c>
      <c r="J9" s="11"/>
      <c r="K9" s="10" t="s">
        <v>75</v>
      </c>
      <c r="L9" s="4" t="s">
        <v>75</v>
      </c>
      <c r="M9" s="11" t="s">
        <v>75</v>
      </c>
      <c r="O9" s="128" t="s">
        <v>78</v>
      </c>
      <c r="P9" s="129">
        <v>0.25</v>
      </c>
      <c r="Q9" s="129">
        <v>0.75</v>
      </c>
      <c r="R9" s="128" t="s">
        <v>5</v>
      </c>
      <c r="S9" s="130">
        <v>0.41666666666666669</v>
      </c>
      <c r="T9" s="130">
        <v>0.625</v>
      </c>
      <c r="U9" s="128"/>
      <c r="V9" s="128"/>
      <c r="W9" s="128"/>
      <c r="X9" s="128"/>
      <c r="Y9" s="128"/>
      <c r="Z9" s="115"/>
      <c r="AA9" s="32" t="str">
        <f t="shared" si="2"/>
        <v/>
      </c>
      <c r="AB9" s="28" t="str">
        <f>IF(AA9&lt;&gt;"",ROWS(AA$3:AA9),"")</f>
        <v/>
      </c>
      <c r="AC9" s="28" t="str">
        <f>IFERROR(SMALL(AB$3:AB$17,ROWS(AB$3:AB9)),"")</f>
        <v/>
      </c>
      <c r="AD9" s="33" t="str">
        <f t="shared" si="3"/>
        <v/>
      </c>
      <c r="AE9" s="32" t="str">
        <f t="shared" si="4"/>
        <v/>
      </c>
      <c r="AF9" s="28" t="str">
        <f>IF(AE9&lt;&gt;"",ROWS(AE$3:AE9),"")</f>
        <v/>
      </c>
      <c r="AG9" s="28" t="str">
        <f>IFERROR(SMALL(AF$3:AF$17,ROWS(AF$3:AF9)),"")</f>
        <v/>
      </c>
      <c r="AH9" s="33" t="str">
        <f t="shared" si="5"/>
        <v/>
      </c>
      <c r="AI9" s="32" t="str">
        <f t="shared" si="6"/>
        <v/>
      </c>
      <c r="AJ9" s="28" t="str">
        <f>IF(AI9&lt;&gt;"",ROWS(AI$3:AI9),"")</f>
        <v/>
      </c>
      <c r="AK9" s="28" t="str">
        <f>IFERROR(SMALL(AJ$3:AJ$17,ROWS(AJ$3:AJ9)),"")</f>
        <v/>
      </c>
      <c r="AL9" s="33" t="str">
        <f t="shared" si="7"/>
        <v/>
      </c>
      <c r="AM9" s="32" t="str">
        <f t="shared" si="8"/>
        <v/>
      </c>
      <c r="AN9" s="28" t="str">
        <f>IF(AM9&lt;&gt;"",ROWS(AM$3:AM9),"")</f>
        <v/>
      </c>
      <c r="AO9" s="28" t="str">
        <f>IFERROR(SMALL(AN$3:AN$17,ROWS(AN$3:AN9)),"")</f>
        <v/>
      </c>
      <c r="AP9" s="33" t="str">
        <f t="shared" si="9"/>
        <v/>
      </c>
      <c r="AQ9" s="32" t="str">
        <f t="shared" si="10"/>
        <v/>
      </c>
      <c r="AR9" s="28" t="str">
        <f>IF(AQ9&lt;&gt;"",ROWS(AQ$3:AQ9),"")</f>
        <v/>
      </c>
      <c r="AS9" s="28" t="str">
        <f>IFERROR(SMALL(AR$3:AR$17,ROWS(AR$3:AR9)),"")</f>
        <v/>
      </c>
      <c r="AT9" s="33" t="str">
        <f t="shared" si="11"/>
        <v/>
      </c>
      <c r="AU9" s="32" t="str">
        <f t="shared" si="12"/>
        <v/>
      </c>
      <c r="AV9" s="28" t="str">
        <f>IF(AU9&lt;&gt;"",ROWS(AU$3:AU9),"")</f>
        <v/>
      </c>
      <c r="AW9" s="28" t="str">
        <f>IFERROR(SMALL(AV$3:AV$17,ROWS(AV$3:AV9)),"")</f>
        <v/>
      </c>
      <c r="AX9" s="33" t="str">
        <f t="shared" si="13"/>
        <v/>
      </c>
      <c r="AY9" s="32" t="str">
        <f t="shared" si="14"/>
        <v/>
      </c>
      <c r="AZ9" s="28" t="str">
        <f>IF(AY9&lt;&gt;"",ROWS(AY$3:AY9),"")</f>
        <v/>
      </c>
      <c r="BA9" s="28" t="str">
        <f>IFERROR(SMALL(AZ$3:AZ$17,ROWS(AZ$3:AZ9)),"")</f>
        <v/>
      </c>
      <c r="BB9" s="33" t="str">
        <f t="shared" si="15"/>
        <v/>
      </c>
      <c r="BC9" s="32" t="str">
        <f t="shared" si="16"/>
        <v/>
      </c>
      <c r="BD9" s="28" t="str">
        <f>IF(BC9&lt;&gt;"",ROWS(BC$3:BC9),"")</f>
        <v/>
      </c>
      <c r="BE9" s="28" t="str">
        <f>IFERROR(SMALL(BD$3:BD$17,ROWS(BD$3:BD9)),"")</f>
        <v/>
      </c>
      <c r="BF9" s="33" t="str">
        <f t="shared" si="17"/>
        <v/>
      </c>
      <c r="BG9" s="32" t="str">
        <f t="shared" si="18"/>
        <v/>
      </c>
      <c r="BH9" s="28" t="str">
        <f>IF(BG9&lt;&gt;"",ROWS(BG$3:BG9),"")</f>
        <v/>
      </c>
      <c r="BI9" s="28" t="str">
        <f>IFERROR(SMALL(BH$3:BH$17,ROWS(BH$3:BH9)),"")</f>
        <v/>
      </c>
      <c r="BJ9" s="33" t="str">
        <f t="shared" si="19"/>
        <v/>
      </c>
      <c r="BK9" s="32" t="str">
        <f t="shared" si="20"/>
        <v/>
      </c>
      <c r="BL9" s="28" t="str">
        <f>IF(BK9&lt;&gt;"",ROWS(BK$3:BK9),"")</f>
        <v/>
      </c>
      <c r="BM9" s="28" t="str">
        <f>IFERROR(SMALL(BL$3:BL$17,ROWS(BL$3:BL9)),"")</f>
        <v/>
      </c>
      <c r="BN9" s="33" t="str">
        <f t="shared" si="21"/>
        <v/>
      </c>
      <c r="BO9" s="32" t="str">
        <f t="shared" si="22"/>
        <v/>
      </c>
      <c r="BP9" s="28" t="str">
        <f>IF(BO9&lt;&gt;"",ROWS(BO$3:BO9),"")</f>
        <v/>
      </c>
      <c r="BQ9" s="28" t="str">
        <f>IFERROR(SMALL(BP$3:BP$17,ROWS(BP$3:BP9)),"")</f>
        <v/>
      </c>
      <c r="BR9" s="33" t="str">
        <f t="shared" si="23"/>
        <v/>
      </c>
      <c r="BS9" s="32" t="str">
        <f t="shared" si="24"/>
        <v/>
      </c>
      <c r="BT9" s="28" t="str">
        <f>IF(BS9&lt;&gt;"",ROWS(BS$3:BS9),"")</f>
        <v/>
      </c>
      <c r="BU9" s="28" t="str">
        <f>IFERROR(SMALL(BT$3:BT$17,ROWS(BT$3:BT9)),"")</f>
        <v/>
      </c>
      <c r="BV9" s="33" t="str">
        <f t="shared" si="25"/>
        <v/>
      </c>
      <c r="BX9" s="41">
        <v>0.54166666666666663</v>
      </c>
      <c r="BY9" s="41">
        <v>0.45833333333333331</v>
      </c>
      <c r="CA9" t="b">
        <f t="shared" si="0"/>
        <v>1</v>
      </c>
      <c r="CB9" t="b">
        <f t="shared" si="1"/>
        <v>1</v>
      </c>
      <c r="CD9" t="s">
        <v>78</v>
      </c>
      <c r="CE9" s="41">
        <v>0.25</v>
      </c>
      <c r="CF9" s="41">
        <v>0.75</v>
      </c>
      <c r="CG9" t="s">
        <v>5</v>
      </c>
      <c r="CH9" s="41">
        <v>0.41666666666666669</v>
      </c>
      <c r="CI9" s="41">
        <v>0.625</v>
      </c>
      <c r="CJ9">
        <v>9</v>
      </c>
      <c r="CK9" t="b">
        <v>1</v>
      </c>
      <c r="CL9">
        <v>13</v>
      </c>
      <c r="CN9" t="b">
        <v>0</v>
      </c>
      <c r="CO9" t="b">
        <v>0</v>
      </c>
      <c r="CP9" t="b">
        <v>0</v>
      </c>
      <c r="CQ9" t="b">
        <v>0</v>
      </c>
    </row>
    <row r="10" spans="1:98" ht="16.5" customHeight="1" x14ac:dyDescent="0.25">
      <c r="A10" s="50" t="s">
        <v>4</v>
      </c>
      <c r="B10" s="10" t="s">
        <v>76</v>
      </c>
      <c r="C10" s="4" t="s">
        <v>76</v>
      </c>
      <c r="D10" s="11" t="s">
        <v>76</v>
      </c>
      <c r="E10" s="10" t="s">
        <v>76</v>
      </c>
      <c r="F10" s="4"/>
      <c r="G10" s="11" t="s">
        <v>76</v>
      </c>
      <c r="H10" s="10" t="s">
        <v>76</v>
      </c>
      <c r="I10" s="4" t="s">
        <v>76</v>
      </c>
      <c r="J10" s="11" t="s">
        <v>76</v>
      </c>
      <c r="K10" s="10"/>
      <c r="L10" s="4" t="s">
        <v>76</v>
      </c>
      <c r="M10" s="11" t="s">
        <v>76</v>
      </c>
      <c r="N10" s="73"/>
      <c r="O10" s="106"/>
      <c r="P10" s="107"/>
      <c r="Q10" s="107"/>
      <c r="R10" s="106"/>
      <c r="S10" s="108"/>
      <c r="T10" s="108"/>
      <c r="U10" s="106"/>
      <c r="V10" s="106"/>
      <c r="W10" s="106"/>
      <c r="X10" s="106"/>
      <c r="Y10" s="106"/>
      <c r="AA10" s="32" t="str">
        <f t="shared" si="2"/>
        <v/>
      </c>
      <c r="AB10" s="28" t="str">
        <f>IF(AA10&lt;&gt;"",ROWS(AA$3:AA10),"")</f>
        <v/>
      </c>
      <c r="AC10" s="28" t="str">
        <f>IFERROR(SMALL(AB$3:AB$17,ROWS(AB$3:AB10)),"")</f>
        <v/>
      </c>
      <c r="AD10" s="33" t="str">
        <f t="shared" si="3"/>
        <v/>
      </c>
      <c r="AE10" s="32" t="str">
        <f t="shared" si="4"/>
        <v/>
      </c>
      <c r="AF10" s="28" t="str">
        <f>IF(AE10&lt;&gt;"",ROWS(AE$3:AE10),"")</f>
        <v/>
      </c>
      <c r="AG10" s="28" t="str">
        <f>IFERROR(SMALL(AF$3:AF$17,ROWS(AF$3:AF10)),"")</f>
        <v/>
      </c>
      <c r="AH10" s="33" t="str">
        <f t="shared" si="5"/>
        <v/>
      </c>
      <c r="AI10" s="32" t="str">
        <f t="shared" si="6"/>
        <v/>
      </c>
      <c r="AJ10" s="28" t="str">
        <f>IF(AI10&lt;&gt;"",ROWS(AI$3:AI10),"")</f>
        <v/>
      </c>
      <c r="AK10" s="28" t="str">
        <f>IFERROR(SMALL(AJ$3:AJ$17,ROWS(AJ$3:AJ10)),"")</f>
        <v/>
      </c>
      <c r="AL10" s="33" t="str">
        <f t="shared" si="7"/>
        <v/>
      </c>
      <c r="AM10" s="32" t="str">
        <f t="shared" si="8"/>
        <v/>
      </c>
      <c r="AN10" s="28" t="str">
        <f>IF(AM10&lt;&gt;"",ROWS(AM$3:AM10),"")</f>
        <v/>
      </c>
      <c r="AO10" s="28" t="str">
        <f>IFERROR(SMALL(AN$3:AN$17,ROWS(AN$3:AN10)),"")</f>
        <v/>
      </c>
      <c r="AP10" s="33" t="str">
        <f t="shared" si="9"/>
        <v/>
      </c>
      <c r="AQ10" s="32" t="str">
        <f t="shared" si="10"/>
        <v/>
      </c>
      <c r="AR10" s="28" t="str">
        <f>IF(AQ10&lt;&gt;"",ROWS(AQ$3:AQ10),"")</f>
        <v/>
      </c>
      <c r="AS10" s="28" t="str">
        <f>IFERROR(SMALL(AR$3:AR$17,ROWS(AR$3:AR10)),"")</f>
        <v/>
      </c>
      <c r="AT10" s="33" t="str">
        <f t="shared" si="11"/>
        <v/>
      </c>
      <c r="AU10" s="32" t="str">
        <f t="shared" si="12"/>
        <v/>
      </c>
      <c r="AV10" s="28" t="str">
        <f>IF(AU10&lt;&gt;"",ROWS(AU$3:AU10),"")</f>
        <v/>
      </c>
      <c r="AW10" s="28" t="str">
        <f>IFERROR(SMALL(AV$3:AV$17,ROWS(AV$3:AV10)),"")</f>
        <v/>
      </c>
      <c r="AX10" s="33" t="str">
        <f t="shared" si="13"/>
        <v/>
      </c>
      <c r="AY10" s="32" t="str">
        <f t="shared" si="14"/>
        <v/>
      </c>
      <c r="AZ10" s="28" t="str">
        <f>IF(AY10&lt;&gt;"",ROWS(AY$3:AY10),"")</f>
        <v/>
      </c>
      <c r="BA10" s="28" t="str">
        <f>IFERROR(SMALL(AZ$3:AZ$17,ROWS(AZ$3:AZ10)),"")</f>
        <v/>
      </c>
      <c r="BB10" s="33" t="str">
        <f t="shared" si="15"/>
        <v/>
      </c>
      <c r="BC10" s="32" t="str">
        <f t="shared" si="16"/>
        <v/>
      </c>
      <c r="BD10" s="28" t="str">
        <f>IF(BC10&lt;&gt;"",ROWS(BC$3:BC10),"")</f>
        <v/>
      </c>
      <c r="BE10" s="28" t="str">
        <f>IFERROR(SMALL(BD$3:BD$17,ROWS(BD$3:BD10)),"")</f>
        <v/>
      </c>
      <c r="BF10" s="33" t="str">
        <f t="shared" si="17"/>
        <v/>
      </c>
      <c r="BG10" s="32" t="str">
        <f t="shared" si="18"/>
        <v/>
      </c>
      <c r="BH10" s="28" t="str">
        <f>IF(BG10&lt;&gt;"",ROWS(BG$3:BG10),"")</f>
        <v/>
      </c>
      <c r="BI10" s="28" t="str">
        <f>IFERROR(SMALL(BH$3:BH$17,ROWS(BH$3:BH10)),"")</f>
        <v/>
      </c>
      <c r="BJ10" s="33" t="str">
        <f t="shared" si="19"/>
        <v/>
      </c>
      <c r="BK10" s="32" t="str">
        <f t="shared" si="20"/>
        <v/>
      </c>
      <c r="BL10" s="28" t="str">
        <f>IF(BK10&lt;&gt;"",ROWS(BK$3:BK10),"")</f>
        <v/>
      </c>
      <c r="BM10" s="28" t="str">
        <f>IFERROR(SMALL(BL$3:BL$17,ROWS(BL$3:BL10)),"")</f>
        <v/>
      </c>
      <c r="BN10" s="33" t="str">
        <f t="shared" si="21"/>
        <v/>
      </c>
      <c r="BO10" s="32" t="str">
        <f t="shared" si="22"/>
        <v/>
      </c>
      <c r="BP10" s="28" t="str">
        <f>IF(BO10&lt;&gt;"",ROWS(BO$3:BO10),"")</f>
        <v/>
      </c>
      <c r="BQ10" s="28" t="str">
        <f>IFERROR(SMALL(BP$3:BP$17,ROWS(BP$3:BP10)),"")</f>
        <v/>
      </c>
      <c r="BR10" s="33" t="str">
        <f t="shared" si="23"/>
        <v/>
      </c>
      <c r="BS10" s="32" t="str">
        <f t="shared" si="24"/>
        <v/>
      </c>
      <c r="BT10" s="28" t="str">
        <f>IF(BS10&lt;&gt;"",ROWS(BS$3:BS10),"")</f>
        <v/>
      </c>
      <c r="BU10" s="28" t="str">
        <f>IFERROR(SMALL(BT$3:BT$17,ROWS(BT$3:BT10)),"")</f>
        <v/>
      </c>
      <c r="BV10" s="33" t="str">
        <f t="shared" si="25"/>
        <v/>
      </c>
      <c r="BX10" s="41">
        <v>0.58333333333333337</v>
      </c>
      <c r="BY10" s="41">
        <v>0.41666666666666669</v>
      </c>
      <c r="CA10" t="b">
        <f t="shared" si="0"/>
        <v>1</v>
      </c>
      <c r="CB10" t="b">
        <f t="shared" si="1"/>
        <v>1</v>
      </c>
      <c r="CE10" s="41"/>
      <c r="CF10" s="41"/>
      <c r="CH10" s="41"/>
      <c r="CI10" s="41"/>
      <c r="CN10" t="b">
        <v>0</v>
      </c>
      <c r="CO10" t="b">
        <v>0</v>
      </c>
      <c r="CP10" t="b">
        <v>0</v>
      </c>
      <c r="CQ10" t="b">
        <v>0</v>
      </c>
    </row>
    <row r="11" spans="1:98" ht="16.5" customHeight="1" x14ac:dyDescent="0.25">
      <c r="A11" s="50" t="s">
        <v>4</v>
      </c>
      <c r="B11" s="10"/>
      <c r="C11" s="4"/>
      <c r="D11" s="11"/>
      <c r="E11" s="10"/>
      <c r="F11" s="4"/>
      <c r="G11" s="11"/>
      <c r="H11" s="10"/>
      <c r="I11" s="4"/>
      <c r="J11" s="11"/>
      <c r="K11" s="10"/>
      <c r="L11" s="4"/>
      <c r="M11" s="11"/>
      <c r="N11" s="73"/>
      <c r="O11" s="106"/>
      <c r="P11" s="107"/>
      <c r="Q11" s="107"/>
      <c r="R11" s="106"/>
      <c r="S11" s="108"/>
      <c r="T11" s="112"/>
      <c r="U11" s="106"/>
      <c r="V11" s="106"/>
      <c r="W11" s="106"/>
      <c r="X11" s="106"/>
      <c r="Y11" s="106"/>
      <c r="Z11" s="116"/>
      <c r="AA11" s="32" t="str">
        <f t="shared" si="2"/>
        <v/>
      </c>
      <c r="AB11" s="28" t="str">
        <f>IF(AA11&lt;&gt;"",ROWS(AA$3:AA11),"")</f>
        <v/>
      </c>
      <c r="AC11" s="28" t="str">
        <f>IFERROR(SMALL(AB$3:AB$17,ROWS(AB$3:AB11)),"")</f>
        <v/>
      </c>
      <c r="AD11" s="33" t="str">
        <f t="shared" si="3"/>
        <v/>
      </c>
      <c r="AE11" s="32" t="str">
        <f t="shared" si="4"/>
        <v/>
      </c>
      <c r="AF11" s="28" t="str">
        <f>IF(AE11&lt;&gt;"",ROWS(AE$3:AE11),"")</f>
        <v/>
      </c>
      <c r="AG11" s="28" t="str">
        <f>IFERROR(SMALL(AF$3:AF$17,ROWS(AF$3:AF11)),"")</f>
        <v/>
      </c>
      <c r="AH11" s="33" t="str">
        <f t="shared" si="5"/>
        <v/>
      </c>
      <c r="AI11" s="32" t="str">
        <f t="shared" si="6"/>
        <v/>
      </c>
      <c r="AJ11" s="28" t="str">
        <f>IF(AI11&lt;&gt;"",ROWS(AI$3:AI11),"")</f>
        <v/>
      </c>
      <c r="AK11" s="28" t="str">
        <f>IFERROR(SMALL(AJ$3:AJ$17,ROWS(AJ$3:AJ11)),"")</f>
        <v/>
      </c>
      <c r="AL11" s="33" t="str">
        <f t="shared" si="7"/>
        <v/>
      </c>
      <c r="AM11" s="32" t="str">
        <f t="shared" si="8"/>
        <v/>
      </c>
      <c r="AN11" s="28" t="str">
        <f>IF(AM11&lt;&gt;"",ROWS(AM$3:AM11),"")</f>
        <v/>
      </c>
      <c r="AO11" s="28" t="str">
        <f>IFERROR(SMALL(AN$3:AN$17,ROWS(AN$3:AN11)),"")</f>
        <v/>
      </c>
      <c r="AP11" s="33" t="str">
        <f t="shared" si="9"/>
        <v/>
      </c>
      <c r="AQ11" s="32" t="str">
        <f t="shared" si="10"/>
        <v/>
      </c>
      <c r="AR11" s="28" t="str">
        <f>IF(AQ11&lt;&gt;"",ROWS(AQ$3:AQ11),"")</f>
        <v/>
      </c>
      <c r="AS11" s="28" t="str">
        <f>IFERROR(SMALL(AR$3:AR$17,ROWS(AR$3:AR11)),"")</f>
        <v/>
      </c>
      <c r="AT11" s="33" t="str">
        <f t="shared" si="11"/>
        <v/>
      </c>
      <c r="AU11" s="32" t="str">
        <f t="shared" si="12"/>
        <v/>
      </c>
      <c r="AV11" s="28" t="str">
        <f>IF(AU11&lt;&gt;"",ROWS(AU$3:AU11),"")</f>
        <v/>
      </c>
      <c r="AW11" s="28" t="str">
        <f>IFERROR(SMALL(AV$3:AV$17,ROWS(AV$3:AV11)),"")</f>
        <v/>
      </c>
      <c r="AX11" s="33" t="str">
        <f t="shared" si="13"/>
        <v/>
      </c>
      <c r="AY11" s="32" t="str">
        <f t="shared" si="14"/>
        <v/>
      </c>
      <c r="AZ11" s="28" t="str">
        <f>IF(AY11&lt;&gt;"",ROWS(AY$3:AY11),"")</f>
        <v/>
      </c>
      <c r="BA11" s="28" t="str">
        <f>IFERROR(SMALL(AZ$3:AZ$17,ROWS(AZ$3:AZ11)),"")</f>
        <v/>
      </c>
      <c r="BB11" s="33" t="str">
        <f t="shared" si="15"/>
        <v/>
      </c>
      <c r="BC11" s="32" t="str">
        <f t="shared" si="16"/>
        <v/>
      </c>
      <c r="BD11" s="28" t="str">
        <f>IF(BC11&lt;&gt;"",ROWS(BC$3:BC11),"")</f>
        <v/>
      </c>
      <c r="BE11" s="28" t="str">
        <f>IFERROR(SMALL(BD$3:BD$17,ROWS(BD$3:BD11)),"")</f>
        <v/>
      </c>
      <c r="BF11" s="33" t="str">
        <f t="shared" si="17"/>
        <v/>
      </c>
      <c r="BG11" s="32" t="str">
        <f t="shared" si="18"/>
        <v/>
      </c>
      <c r="BH11" s="28" t="str">
        <f>IF(BG11&lt;&gt;"",ROWS(BG$3:BG11),"")</f>
        <v/>
      </c>
      <c r="BI11" s="28" t="str">
        <f>IFERROR(SMALL(BH$3:BH$17,ROWS(BH$3:BH11)),"")</f>
        <v/>
      </c>
      <c r="BJ11" s="33" t="str">
        <f t="shared" si="19"/>
        <v/>
      </c>
      <c r="BK11" s="32" t="str">
        <f t="shared" si="20"/>
        <v/>
      </c>
      <c r="BL11" s="28" t="str">
        <f>IF(BK11&lt;&gt;"",ROWS(BK$3:BK11),"")</f>
        <v/>
      </c>
      <c r="BM11" s="28" t="str">
        <f>IFERROR(SMALL(BL$3:BL$17,ROWS(BL$3:BL11)),"")</f>
        <v/>
      </c>
      <c r="BN11" s="33" t="str">
        <f t="shared" si="21"/>
        <v/>
      </c>
      <c r="BO11" s="32" t="str">
        <f t="shared" si="22"/>
        <v/>
      </c>
      <c r="BP11" s="28" t="str">
        <f>IF(BO11&lt;&gt;"",ROWS(BO$3:BO11),"")</f>
        <v/>
      </c>
      <c r="BQ11" s="28" t="str">
        <f>IFERROR(SMALL(BP$3:BP$17,ROWS(BP$3:BP11)),"")</f>
        <v/>
      </c>
      <c r="BR11" s="33" t="str">
        <f t="shared" si="23"/>
        <v/>
      </c>
      <c r="BS11" s="32" t="str">
        <f t="shared" si="24"/>
        <v/>
      </c>
      <c r="BT11" s="28" t="str">
        <f>IF(BS11&lt;&gt;"",ROWS(BS$3:BS11),"")</f>
        <v/>
      </c>
      <c r="BU11" s="28" t="str">
        <f>IFERROR(SMALL(BT$3:BT$17,ROWS(BT$3:BT11)),"")</f>
        <v/>
      </c>
      <c r="BV11" s="33" t="str">
        <f t="shared" si="25"/>
        <v/>
      </c>
      <c r="BX11" s="41">
        <v>0.625</v>
      </c>
      <c r="BY11" s="41">
        <v>0.375</v>
      </c>
      <c r="CA11" t="b">
        <f t="shared" si="0"/>
        <v>1</v>
      </c>
      <c r="CB11" t="b">
        <f t="shared" si="1"/>
        <v>1</v>
      </c>
      <c r="CE11" s="41"/>
      <c r="CF11" s="41"/>
      <c r="CH11" s="41"/>
      <c r="CI11" s="41"/>
      <c r="CN11" t="b">
        <v>0</v>
      </c>
      <c r="CO11" t="b">
        <v>0</v>
      </c>
      <c r="CP11" t="b">
        <v>0</v>
      </c>
      <c r="CQ11" t="b">
        <v>0</v>
      </c>
    </row>
    <row r="12" spans="1:98" ht="16.5" customHeight="1" x14ac:dyDescent="0.25">
      <c r="A12" s="51" t="s">
        <v>5</v>
      </c>
      <c r="B12" s="12" t="s">
        <v>77</v>
      </c>
      <c r="C12" s="5" t="s">
        <v>77</v>
      </c>
      <c r="D12" s="13" t="s">
        <v>77</v>
      </c>
      <c r="E12" s="12"/>
      <c r="F12" s="5" t="s">
        <v>77</v>
      </c>
      <c r="G12" s="13" t="s">
        <v>77</v>
      </c>
      <c r="H12" s="12" t="s">
        <v>77</v>
      </c>
      <c r="I12" s="5" t="s">
        <v>77</v>
      </c>
      <c r="J12" s="13"/>
      <c r="K12" s="12" t="s">
        <v>77</v>
      </c>
      <c r="L12" s="5" t="s">
        <v>77</v>
      </c>
      <c r="M12" s="13" t="s">
        <v>77</v>
      </c>
      <c r="N12" s="73"/>
      <c r="O12" s="106"/>
      <c r="P12" s="107"/>
      <c r="Q12" s="107"/>
      <c r="R12" s="106"/>
      <c r="S12" s="109"/>
      <c r="T12" s="110"/>
      <c r="U12" s="111"/>
      <c r="V12" s="106"/>
      <c r="W12" s="106"/>
      <c r="X12" s="106"/>
      <c r="Y12" s="106"/>
      <c r="Z12" s="116"/>
      <c r="AA12" s="32" t="str">
        <f t="shared" si="2"/>
        <v/>
      </c>
      <c r="AB12" s="28" t="str">
        <f>IF(AA12&lt;&gt;"",ROWS(AA$3:AA12),"")</f>
        <v/>
      </c>
      <c r="AC12" s="28" t="str">
        <f>IFERROR(SMALL(AB$3:AB$17,ROWS(AB$3:AB12)),"")</f>
        <v/>
      </c>
      <c r="AD12" s="33" t="str">
        <f t="shared" si="3"/>
        <v/>
      </c>
      <c r="AE12" s="32" t="str">
        <f t="shared" si="4"/>
        <v/>
      </c>
      <c r="AF12" s="28" t="str">
        <f>IF(AE12&lt;&gt;"",ROWS(AE$3:AE12),"")</f>
        <v/>
      </c>
      <c r="AG12" s="28" t="str">
        <f>IFERROR(SMALL(AF$3:AF$17,ROWS(AF$3:AF12)),"")</f>
        <v/>
      </c>
      <c r="AH12" s="33" t="str">
        <f t="shared" si="5"/>
        <v/>
      </c>
      <c r="AI12" s="32" t="str">
        <f t="shared" si="6"/>
        <v/>
      </c>
      <c r="AJ12" s="28" t="str">
        <f>IF(AI12&lt;&gt;"",ROWS(AI$3:AI12),"")</f>
        <v/>
      </c>
      <c r="AK12" s="28" t="str">
        <f>IFERROR(SMALL(AJ$3:AJ$17,ROWS(AJ$3:AJ12)),"")</f>
        <v/>
      </c>
      <c r="AL12" s="33" t="str">
        <f t="shared" si="7"/>
        <v/>
      </c>
      <c r="AM12" s="32" t="str">
        <f t="shared" si="8"/>
        <v/>
      </c>
      <c r="AN12" s="28" t="str">
        <f>IF(AM12&lt;&gt;"",ROWS(AM$3:AM12),"")</f>
        <v/>
      </c>
      <c r="AO12" s="28" t="str">
        <f>IFERROR(SMALL(AN$3:AN$17,ROWS(AN$3:AN12)),"")</f>
        <v/>
      </c>
      <c r="AP12" s="33" t="str">
        <f t="shared" si="9"/>
        <v/>
      </c>
      <c r="AQ12" s="32" t="str">
        <f t="shared" si="10"/>
        <v/>
      </c>
      <c r="AR12" s="28" t="str">
        <f>IF(AQ12&lt;&gt;"",ROWS(AQ$3:AQ12),"")</f>
        <v/>
      </c>
      <c r="AS12" s="28" t="str">
        <f>IFERROR(SMALL(AR$3:AR$17,ROWS(AR$3:AR12)),"")</f>
        <v/>
      </c>
      <c r="AT12" s="33" t="str">
        <f t="shared" si="11"/>
        <v/>
      </c>
      <c r="AU12" s="32" t="str">
        <f t="shared" si="12"/>
        <v/>
      </c>
      <c r="AV12" s="28" t="str">
        <f>IF(AU12&lt;&gt;"",ROWS(AU$3:AU12),"")</f>
        <v/>
      </c>
      <c r="AW12" s="28" t="str">
        <f>IFERROR(SMALL(AV$3:AV$17,ROWS(AV$3:AV12)),"")</f>
        <v/>
      </c>
      <c r="AX12" s="33" t="str">
        <f t="shared" si="13"/>
        <v/>
      </c>
      <c r="AY12" s="32" t="str">
        <f t="shared" si="14"/>
        <v/>
      </c>
      <c r="AZ12" s="28" t="str">
        <f>IF(AY12&lt;&gt;"",ROWS(AY$3:AY12),"")</f>
        <v/>
      </c>
      <c r="BA12" s="28" t="str">
        <f>IFERROR(SMALL(AZ$3:AZ$17,ROWS(AZ$3:AZ12)),"")</f>
        <v/>
      </c>
      <c r="BB12" s="33" t="str">
        <f t="shared" si="15"/>
        <v/>
      </c>
      <c r="BC12" s="32" t="str">
        <f t="shared" si="16"/>
        <v/>
      </c>
      <c r="BD12" s="28" t="str">
        <f>IF(BC12&lt;&gt;"",ROWS(BC$3:BC12),"")</f>
        <v/>
      </c>
      <c r="BE12" s="28" t="str">
        <f>IFERROR(SMALL(BD$3:BD$17,ROWS(BD$3:BD12)),"")</f>
        <v/>
      </c>
      <c r="BF12" s="33" t="str">
        <f t="shared" si="17"/>
        <v/>
      </c>
      <c r="BG12" s="32" t="str">
        <f t="shared" si="18"/>
        <v/>
      </c>
      <c r="BH12" s="28" t="str">
        <f>IF(BG12&lt;&gt;"",ROWS(BG$3:BG12),"")</f>
        <v/>
      </c>
      <c r="BI12" s="28" t="str">
        <f>IFERROR(SMALL(BH$3:BH$17,ROWS(BH$3:BH12)),"")</f>
        <v/>
      </c>
      <c r="BJ12" s="33" t="str">
        <f t="shared" si="19"/>
        <v/>
      </c>
      <c r="BK12" s="32" t="str">
        <f t="shared" si="20"/>
        <v/>
      </c>
      <c r="BL12" s="28" t="str">
        <f>IF(BK12&lt;&gt;"",ROWS(BK$3:BK12),"")</f>
        <v/>
      </c>
      <c r="BM12" s="28" t="str">
        <f>IFERROR(SMALL(BL$3:BL$17,ROWS(BL$3:BL12)),"")</f>
        <v/>
      </c>
      <c r="BN12" s="33" t="str">
        <f t="shared" si="21"/>
        <v/>
      </c>
      <c r="BO12" s="32" t="str">
        <f t="shared" si="22"/>
        <v/>
      </c>
      <c r="BP12" s="28" t="str">
        <f>IF(BO12&lt;&gt;"",ROWS(BO$3:BO12),"")</f>
        <v/>
      </c>
      <c r="BQ12" s="28" t="str">
        <f>IFERROR(SMALL(BP$3:BP$17,ROWS(BP$3:BP12)),"")</f>
        <v/>
      </c>
      <c r="BR12" s="33" t="str">
        <f t="shared" si="23"/>
        <v/>
      </c>
      <c r="BS12" s="32" t="str">
        <f t="shared" si="24"/>
        <v/>
      </c>
      <c r="BT12" s="28" t="str">
        <f>IF(BS12&lt;&gt;"",ROWS(BS$3:BS12),"")</f>
        <v/>
      </c>
      <c r="BU12" s="28" t="str">
        <f>IFERROR(SMALL(BT$3:BT$17,ROWS(BT$3:BT12)),"")</f>
        <v/>
      </c>
      <c r="BV12" s="33" t="str">
        <f t="shared" si="25"/>
        <v/>
      </c>
      <c r="BX12" s="41">
        <v>0.66666666666666663</v>
      </c>
      <c r="BY12" s="41">
        <v>0.33333333333333331</v>
      </c>
      <c r="CA12" t="b">
        <f t="shared" si="0"/>
        <v>1</v>
      </c>
      <c r="CB12" t="b">
        <f t="shared" si="1"/>
        <v>1</v>
      </c>
      <c r="CE12" s="41"/>
      <c r="CF12" s="41"/>
      <c r="CH12" s="41"/>
      <c r="CI12" s="41"/>
      <c r="CN12" t="b">
        <v>0</v>
      </c>
      <c r="CO12" t="b">
        <v>0</v>
      </c>
      <c r="CP12" t="b">
        <v>0</v>
      </c>
      <c r="CQ12" t="b">
        <v>0</v>
      </c>
    </row>
    <row r="13" spans="1:98" ht="16.5" customHeight="1" x14ac:dyDescent="0.25">
      <c r="A13" s="51" t="s">
        <v>5</v>
      </c>
      <c r="B13" s="12" t="s">
        <v>78</v>
      </c>
      <c r="C13" s="5" t="s">
        <v>78</v>
      </c>
      <c r="D13" s="13" t="s">
        <v>78</v>
      </c>
      <c r="E13" s="12" t="s">
        <v>78</v>
      </c>
      <c r="F13" s="5"/>
      <c r="G13" s="13" t="s">
        <v>78</v>
      </c>
      <c r="H13" s="12" t="s">
        <v>78</v>
      </c>
      <c r="I13" s="5" t="s">
        <v>78</v>
      </c>
      <c r="J13" s="13" t="s">
        <v>78</v>
      </c>
      <c r="K13" s="12"/>
      <c r="L13" s="5" t="s">
        <v>78</v>
      </c>
      <c r="M13" s="13" t="s">
        <v>78</v>
      </c>
      <c r="N13" s="73"/>
      <c r="O13" s="106"/>
      <c r="P13" s="107"/>
      <c r="Q13" s="107"/>
      <c r="R13" s="106"/>
      <c r="S13" s="108"/>
      <c r="T13" s="113"/>
      <c r="U13" s="106"/>
      <c r="V13" s="106"/>
      <c r="W13" s="106"/>
      <c r="X13" s="106"/>
      <c r="Y13" s="106"/>
      <c r="Z13" s="116"/>
      <c r="AA13" s="32" t="str">
        <f t="shared" si="2"/>
        <v/>
      </c>
      <c r="AB13" s="28" t="str">
        <f>IF(AA13&lt;&gt;"",ROWS(AA$3:AA13),"")</f>
        <v/>
      </c>
      <c r="AC13" s="28" t="str">
        <f>IFERROR(SMALL(AB$3:AB$17,ROWS(AB$3:AB13)),"")</f>
        <v/>
      </c>
      <c r="AD13" s="33" t="str">
        <f t="shared" si="3"/>
        <v/>
      </c>
      <c r="AE13" s="32" t="str">
        <f t="shared" si="4"/>
        <v/>
      </c>
      <c r="AF13" s="28" t="str">
        <f>IF(AE13&lt;&gt;"",ROWS(AE$3:AE13),"")</f>
        <v/>
      </c>
      <c r="AG13" s="28" t="str">
        <f>IFERROR(SMALL(AF$3:AF$17,ROWS(AF$3:AF13)),"")</f>
        <v/>
      </c>
      <c r="AH13" s="33" t="str">
        <f t="shared" si="5"/>
        <v/>
      </c>
      <c r="AI13" s="32" t="str">
        <f t="shared" si="6"/>
        <v/>
      </c>
      <c r="AJ13" s="28" t="str">
        <f>IF(AI13&lt;&gt;"",ROWS(AI$3:AI13),"")</f>
        <v/>
      </c>
      <c r="AK13" s="28" t="str">
        <f>IFERROR(SMALL(AJ$3:AJ$17,ROWS(AJ$3:AJ13)),"")</f>
        <v/>
      </c>
      <c r="AL13" s="33" t="str">
        <f t="shared" si="7"/>
        <v/>
      </c>
      <c r="AM13" s="32" t="str">
        <f t="shared" si="8"/>
        <v/>
      </c>
      <c r="AN13" s="28" t="str">
        <f>IF(AM13&lt;&gt;"",ROWS(AM$3:AM13),"")</f>
        <v/>
      </c>
      <c r="AO13" s="28" t="str">
        <f>IFERROR(SMALL(AN$3:AN$17,ROWS(AN$3:AN13)),"")</f>
        <v/>
      </c>
      <c r="AP13" s="33" t="str">
        <f t="shared" si="9"/>
        <v/>
      </c>
      <c r="AQ13" s="32" t="str">
        <f t="shared" si="10"/>
        <v/>
      </c>
      <c r="AR13" s="28" t="str">
        <f>IF(AQ13&lt;&gt;"",ROWS(AQ$3:AQ13),"")</f>
        <v/>
      </c>
      <c r="AS13" s="28" t="str">
        <f>IFERROR(SMALL(AR$3:AR$17,ROWS(AR$3:AR13)),"")</f>
        <v/>
      </c>
      <c r="AT13" s="33" t="str">
        <f t="shared" si="11"/>
        <v/>
      </c>
      <c r="AU13" s="32" t="str">
        <f t="shared" si="12"/>
        <v/>
      </c>
      <c r="AV13" s="28" t="str">
        <f>IF(AU13&lt;&gt;"",ROWS(AU$3:AU13),"")</f>
        <v/>
      </c>
      <c r="AW13" s="28" t="str">
        <f>IFERROR(SMALL(AV$3:AV$17,ROWS(AV$3:AV13)),"")</f>
        <v/>
      </c>
      <c r="AX13" s="33" t="str">
        <f t="shared" si="13"/>
        <v/>
      </c>
      <c r="AY13" s="32" t="str">
        <f t="shared" si="14"/>
        <v/>
      </c>
      <c r="AZ13" s="28" t="str">
        <f>IF(AY13&lt;&gt;"",ROWS(AY$3:AY13),"")</f>
        <v/>
      </c>
      <c r="BA13" s="28" t="str">
        <f>IFERROR(SMALL(AZ$3:AZ$17,ROWS(AZ$3:AZ13)),"")</f>
        <v/>
      </c>
      <c r="BB13" s="33" t="str">
        <f t="shared" si="15"/>
        <v/>
      </c>
      <c r="BC13" s="32" t="str">
        <f t="shared" si="16"/>
        <v/>
      </c>
      <c r="BD13" s="28" t="str">
        <f>IF(BC13&lt;&gt;"",ROWS(BC$3:BC13),"")</f>
        <v/>
      </c>
      <c r="BE13" s="28" t="str">
        <f>IFERROR(SMALL(BD$3:BD$17,ROWS(BD$3:BD13)),"")</f>
        <v/>
      </c>
      <c r="BF13" s="33" t="str">
        <f t="shared" si="17"/>
        <v/>
      </c>
      <c r="BG13" s="32" t="str">
        <f t="shared" si="18"/>
        <v/>
      </c>
      <c r="BH13" s="28" t="str">
        <f>IF(BG13&lt;&gt;"",ROWS(BG$3:BG13),"")</f>
        <v/>
      </c>
      <c r="BI13" s="28" t="str">
        <f>IFERROR(SMALL(BH$3:BH$17,ROWS(BH$3:BH13)),"")</f>
        <v/>
      </c>
      <c r="BJ13" s="33" t="str">
        <f t="shared" si="19"/>
        <v/>
      </c>
      <c r="BK13" s="32" t="str">
        <f t="shared" si="20"/>
        <v/>
      </c>
      <c r="BL13" s="28" t="str">
        <f>IF(BK13&lt;&gt;"",ROWS(BK$3:BK13),"")</f>
        <v/>
      </c>
      <c r="BM13" s="28" t="str">
        <f>IFERROR(SMALL(BL$3:BL$17,ROWS(BL$3:BL13)),"")</f>
        <v/>
      </c>
      <c r="BN13" s="33" t="str">
        <f t="shared" si="21"/>
        <v/>
      </c>
      <c r="BO13" s="32" t="str">
        <f t="shared" si="22"/>
        <v/>
      </c>
      <c r="BP13" s="28" t="str">
        <f>IF(BO13&lt;&gt;"",ROWS(BO$3:BO13),"")</f>
        <v/>
      </c>
      <c r="BQ13" s="28" t="str">
        <f>IFERROR(SMALL(BP$3:BP$17,ROWS(BP$3:BP13)),"")</f>
        <v/>
      </c>
      <c r="BR13" s="33" t="str">
        <f t="shared" si="23"/>
        <v/>
      </c>
      <c r="BS13" s="32" t="str">
        <f t="shared" si="24"/>
        <v/>
      </c>
      <c r="BT13" s="28" t="str">
        <f>IF(BS13&lt;&gt;"",ROWS(BS$3:BS13),"")</f>
        <v/>
      </c>
      <c r="BU13" s="28" t="str">
        <f>IFERROR(SMALL(BT$3:BT$17,ROWS(BT$3:BT13)),"")</f>
        <v/>
      </c>
      <c r="BV13" s="33" t="str">
        <f t="shared" si="25"/>
        <v/>
      </c>
      <c r="BX13" s="41">
        <v>0.70833333333333337</v>
      </c>
      <c r="BY13" s="41">
        <v>0.29166666666666669</v>
      </c>
      <c r="CA13" t="b">
        <f t="shared" si="0"/>
        <v>1</v>
      </c>
      <c r="CB13" t="b">
        <f t="shared" si="1"/>
        <v>1</v>
      </c>
      <c r="CE13" s="41"/>
      <c r="CF13" s="41"/>
      <c r="CH13" s="41"/>
      <c r="CI13" s="41"/>
      <c r="CN13" t="b">
        <v>0</v>
      </c>
      <c r="CO13" t="b">
        <v>0</v>
      </c>
      <c r="CP13" t="b">
        <v>0</v>
      </c>
      <c r="CQ13" t="b">
        <v>0</v>
      </c>
    </row>
    <row r="14" spans="1:98" ht="16.5" customHeight="1" x14ac:dyDescent="0.25">
      <c r="A14" s="51" t="s">
        <v>5</v>
      </c>
      <c r="B14" s="12"/>
      <c r="C14" s="5"/>
      <c r="D14" s="13"/>
      <c r="E14" s="12"/>
      <c r="F14" s="5"/>
      <c r="G14" s="13"/>
      <c r="H14" s="12"/>
      <c r="I14" s="5"/>
      <c r="J14" s="13"/>
      <c r="K14" s="12"/>
      <c r="L14" s="5"/>
      <c r="M14" s="13"/>
      <c r="N14" s="73"/>
      <c r="O14" s="106"/>
      <c r="P14" s="107"/>
      <c r="Q14" s="107"/>
      <c r="R14" s="106"/>
      <c r="S14" s="108"/>
      <c r="T14" s="108"/>
      <c r="U14" s="106"/>
      <c r="V14" s="106"/>
      <c r="W14" s="106"/>
      <c r="X14" s="106"/>
      <c r="Y14" s="106"/>
      <c r="Z14" s="116"/>
      <c r="AA14" s="32" t="str">
        <f t="shared" si="2"/>
        <v/>
      </c>
      <c r="AB14" s="28" t="str">
        <f>IF(AA14&lt;&gt;"",ROWS(AA$3:AA14),"")</f>
        <v/>
      </c>
      <c r="AC14" s="28" t="str">
        <f>IFERROR(SMALL(AB$3:AB$17,ROWS(AB$3:AB14)),"")</f>
        <v/>
      </c>
      <c r="AD14" s="33" t="str">
        <f t="shared" si="3"/>
        <v/>
      </c>
      <c r="AE14" s="32" t="str">
        <f t="shared" si="4"/>
        <v/>
      </c>
      <c r="AF14" s="28" t="str">
        <f>IF(AE14&lt;&gt;"",ROWS(AE$3:AE14),"")</f>
        <v/>
      </c>
      <c r="AG14" s="28" t="str">
        <f>IFERROR(SMALL(AF$3:AF$17,ROWS(AF$3:AF14)),"")</f>
        <v/>
      </c>
      <c r="AH14" s="33" t="str">
        <f t="shared" si="5"/>
        <v/>
      </c>
      <c r="AI14" s="32" t="str">
        <f t="shared" si="6"/>
        <v/>
      </c>
      <c r="AJ14" s="28" t="str">
        <f>IF(AI14&lt;&gt;"",ROWS(AI$3:AI14),"")</f>
        <v/>
      </c>
      <c r="AK14" s="28" t="str">
        <f>IFERROR(SMALL(AJ$3:AJ$17,ROWS(AJ$3:AJ14)),"")</f>
        <v/>
      </c>
      <c r="AL14" s="33" t="str">
        <f t="shared" si="7"/>
        <v/>
      </c>
      <c r="AM14" s="32" t="str">
        <f t="shared" si="8"/>
        <v/>
      </c>
      <c r="AN14" s="28" t="str">
        <f>IF(AM14&lt;&gt;"",ROWS(AM$3:AM14),"")</f>
        <v/>
      </c>
      <c r="AO14" s="28" t="str">
        <f>IFERROR(SMALL(AN$3:AN$17,ROWS(AN$3:AN14)),"")</f>
        <v/>
      </c>
      <c r="AP14" s="33" t="str">
        <f t="shared" si="9"/>
        <v/>
      </c>
      <c r="AQ14" s="32" t="str">
        <f t="shared" si="10"/>
        <v/>
      </c>
      <c r="AR14" s="28" t="str">
        <f>IF(AQ14&lt;&gt;"",ROWS(AQ$3:AQ14),"")</f>
        <v/>
      </c>
      <c r="AS14" s="28" t="str">
        <f>IFERROR(SMALL(AR$3:AR$17,ROWS(AR$3:AR14)),"")</f>
        <v/>
      </c>
      <c r="AT14" s="33" t="str">
        <f t="shared" si="11"/>
        <v/>
      </c>
      <c r="AU14" s="32" t="str">
        <f t="shared" si="12"/>
        <v/>
      </c>
      <c r="AV14" s="28" t="str">
        <f>IF(AU14&lt;&gt;"",ROWS(AU$3:AU14),"")</f>
        <v/>
      </c>
      <c r="AW14" s="28" t="str">
        <f>IFERROR(SMALL(AV$3:AV$17,ROWS(AV$3:AV14)),"")</f>
        <v/>
      </c>
      <c r="AX14" s="33" t="str">
        <f t="shared" si="13"/>
        <v/>
      </c>
      <c r="AY14" s="32" t="str">
        <f t="shared" si="14"/>
        <v/>
      </c>
      <c r="AZ14" s="28" t="str">
        <f>IF(AY14&lt;&gt;"",ROWS(AY$3:AY14),"")</f>
        <v/>
      </c>
      <c r="BA14" s="28" t="str">
        <f>IFERROR(SMALL(AZ$3:AZ$17,ROWS(AZ$3:AZ14)),"")</f>
        <v/>
      </c>
      <c r="BB14" s="33" t="str">
        <f t="shared" si="15"/>
        <v/>
      </c>
      <c r="BC14" s="32" t="str">
        <f t="shared" si="16"/>
        <v/>
      </c>
      <c r="BD14" s="28" t="str">
        <f>IF(BC14&lt;&gt;"",ROWS(BC$3:BC14),"")</f>
        <v/>
      </c>
      <c r="BE14" s="28" t="str">
        <f>IFERROR(SMALL(BD$3:BD$17,ROWS(BD$3:BD14)),"")</f>
        <v/>
      </c>
      <c r="BF14" s="33" t="str">
        <f t="shared" si="17"/>
        <v/>
      </c>
      <c r="BG14" s="32" t="str">
        <f t="shared" si="18"/>
        <v/>
      </c>
      <c r="BH14" s="28" t="str">
        <f>IF(BG14&lt;&gt;"",ROWS(BG$3:BG14),"")</f>
        <v/>
      </c>
      <c r="BI14" s="28" t="str">
        <f>IFERROR(SMALL(BH$3:BH$17,ROWS(BH$3:BH14)),"")</f>
        <v/>
      </c>
      <c r="BJ14" s="33" t="str">
        <f t="shared" si="19"/>
        <v/>
      </c>
      <c r="BK14" s="32" t="str">
        <f t="shared" si="20"/>
        <v/>
      </c>
      <c r="BL14" s="28" t="str">
        <f>IF(BK14&lt;&gt;"",ROWS(BK$3:BK14),"")</f>
        <v/>
      </c>
      <c r="BM14" s="28" t="str">
        <f>IFERROR(SMALL(BL$3:BL$17,ROWS(BL$3:BL14)),"")</f>
        <v/>
      </c>
      <c r="BN14" s="33" t="str">
        <f t="shared" si="21"/>
        <v/>
      </c>
      <c r="BO14" s="32" t="str">
        <f t="shared" si="22"/>
        <v/>
      </c>
      <c r="BP14" s="28" t="str">
        <f>IF(BO14&lt;&gt;"",ROWS(BO$3:BO14),"")</f>
        <v/>
      </c>
      <c r="BQ14" s="28" t="str">
        <f>IFERROR(SMALL(BP$3:BP$17,ROWS(BP$3:BP14)),"")</f>
        <v/>
      </c>
      <c r="BR14" s="33" t="str">
        <f t="shared" si="23"/>
        <v/>
      </c>
      <c r="BS14" s="32" t="str">
        <f t="shared" si="24"/>
        <v/>
      </c>
      <c r="BT14" s="28" t="str">
        <f>IF(BS14&lt;&gt;"",ROWS(BS$3:BS14),"")</f>
        <v/>
      </c>
      <c r="BU14" s="28" t="str">
        <f>IFERROR(SMALL(BT$3:BT$17,ROWS(BT$3:BT14)),"")</f>
        <v/>
      </c>
      <c r="BV14" s="33" t="str">
        <f t="shared" si="25"/>
        <v/>
      </c>
      <c r="CA14" t="b">
        <f t="shared" si="0"/>
        <v>1</v>
      </c>
      <c r="CB14" t="b">
        <f t="shared" si="1"/>
        <v>1</v>
      </c>
      <c r="CE14" s="41"/>
      <c r="CF14" s="41"/>
      <c r="CH14" s="41"/>
      <c r="CI14" s="41"/>
      <c r="CN14" t="b">
        <v>0</v>
      </c>
      <c r="CO14" t="b">
        <v>0</v>
      </c>
      <c r="CP14" t="b">
        <v>0</v>
      </c>
      <c r="CQ14" t="b">
        <v>0</v>
      </c>
    </row>
    <row r="15" spans="1:98" ht="16.5" customHeight="1" thickBot="1" x14ac:dyDescent="0.3">
      <c r="A15" s="52" t="s">
        <v>18</v>
      </c>
      <c r="B15" s="45"/>
      <c r="C15" s="46"/>
      <c r="D15" s="47"/>
      <c r="E15" s="45"/>
      <c r="F15" s="46"/>
      <c r="G15" s="47"/>
      <c r="H15" s="45"/>
      <c r="I15" s="46"/>
      <c r="J15" s="47"/>
      <c r="K15" s="45"/>
      <c r="L15" s="46"/>
      <c r="M15" s="47"/>
      <c r="N15" s="73"/>
      <c r="O15" s="106"/>
      <c r="P15" s="107"/>
      <c r="Q15" s="107"/>
      <c r="R15" s="106"/>
      <c r="S15" s="108"/>
      <c r="T15" s="108"/>
      <c r="U15" s="106"/>
      <c r="V15" s="106"/>
      <c r="W15" s="106"/>
      <c r="X15" s="106"/>
      <c r="Y15" s="106"/>
      <c r="Z15" s="116"/>
      <c r="AA15" s="32" t="str">
        <f t="shared" si="2"/>
        <v/>
      </c>
      <c r="AB15" s="28" t="str">
        <f>IF(AA15&lt;&gt;"",ROWS(AA$3:AA15),"")</f>
        <v/>
      </c>
      <c r="AC15" s="28" t="str">
        <f>IFERROR(SMALL(AB$3:AB$17,ROWS(AB$3:AB15)),"")</f>
        <v/>
      </c>
      <c r="AD15" s="33" t="str">
        <f t="shared" si="3"/>
        <v/>
      </c>
      <c r="AE15" s="32" t="str">
        <f t="shared" si="4"/>
        <v/>
      </c>
      <c r="AF15" s="28" t="str">
        <f>IF(AE15&lt;&gt;"",ROWS(AE$3:AE15),"")</f>
        <v/>
      </c>
      <c r="AG15" s="28" t="str">
        <f>IFERROR(SMALL(AF$3:AF$17,ROWS(AF$3:AF15)),"")</f>
        <v/>
      </c>
      <c r="AH15" s="33" t="str">
        <f t="shared" si="5"/>
        <v/>
      </c>
      <c r="AI15" s="32" t="str">
        <f t="shared" si="6"/>
        <v/>
      </c>
      <c r="AJ15" s="28" t="str">
        <f>IF(AI15&lt;&gt;"",ROWS(AI$3:AI15),"")</f>
        <v/>
      </c>
      <c r="AK15" s="28" t="str">
        <f>IFERROR(SMALL(AJ$3:AJ$17,ROWS(AJ$3:AJ15)),"")</f>
        <v/>
      </c>
      <c r="AL15" s="33" t="str">
        <f t="shared" si="7"/>
        <v/>
      </c>
      <c r="AM15" s="32" t="str">
        <f t="shared" si="8"/>
        <v/>
      </c>
      <c r="AN15" s="28" t="str">
        <f>IF(AM15&lt;&gt;"",ROWS(AM$3:AM15),"")</f>
        <v/>
      </c>
      <c r="AO15" s="28" t="str">
        <f>IFERROR(SMALL(AN$3:AN$17,ROWS(AN$3:AN15)),"")</f>
        <v/>
      </c>
      <c r="AP15" s="33" t="str">
        <f t="shared" si="9"/>
        <v/>
      </c>
      <c r="AQ15" s="32" t="str">
        <f t="shared" si="10"/>
        <v/>
      </c>
      <c r="AR15" s="28" t="str">
        <f>IF(AQ15&lt;&gt;"",ROWS(AQ$3:AQ15),"")</f>
        <v/>
      </c>
      <c r="AS15" s="28" t="str">
        <f>IFERROR(SMALL(AR$3:AR$17,ROWS(AR$3:AR15)),"")</f>
        <v/>
      </c>
      <c r="AT15" s="33" t="str">
        <f t="shared" si="11"/>
        <v/>
      </c>
      <c r="AU15" s="32" t="str">
        <f t="shared" si="12"/>
        <v/>
      </c>
      <c r="AV15" s="28" t="str">
        <f>IF(AU15&lt;&gt;"",ROWS(AU$3:AU15),"")</f>
        <v/>
      </c>
      <c r="AW15" s="28" t="str">
        <f>IFERROR(SMALL(AV$3:AV$17,ROWS(AV$3:AV15)),"")</f>
        <v/>
      </c>
      <c r="AX15" s="33" t="str">
        <f t="shared" si="13"/>
        <v/>
      </c>
      <c r="AY15" s="32" t="str">
        <f t="shared" si="14"/>
        <v/>
      </c>
      <c r="AZ15" s="28" t="str">
        <f>IF(AY15&lt;&gt;"",ROWS(AY$3:AY15),"")</f>
        <v/>
      </c>
      <c r="BA15" s="28" t="str">
        <f>IFERROR(SMALL(AZ$3:AZ$17,ROWS(AZ$3:AZ15)),"")</f>
        <v/>
      </c>
      <c r="BB15" s="33" t="str">
        <f t="shared" si="15"/>
        <v/>
      </c>
      <c r="BC15" s="32" t="str">
        <f t="shared" si="16"/>
        <v/>
      </c>
      <c r="BD15" s="28" t="str">
        <f>IF(BC15&lt;&gt;"",ROWS(BC$3:BC15),"")</f>
        <v/>
      </c>
      <c r="BE15" s="28" t="str">
        <f>IFERROR(SMALL(BD$3:BD$17,ROWS(BD$3:BD15)),"")</f>
        <v/>
      </c>
      <c r="BF15" s="33" t="str">
        <f t="shared" si="17"/>
        <v/>
      </c>
      <c r="BG15" s="32" t="str">
        <f t="shared" si="18"/>
        <v/>
      </c>
      <c r="BH15" s="28" t="str">
        <f>IF(BG15&lt;&gt;"",ROWS(BG$3:BG15),"")</f>
        <v/>
      </c>
      <c r="BI15" s="28" t="str">
        <f>IFERROR(SMALL(BH$3:BH$17,ROWS(BH$3:BH15)),"")</f>
        <v/>
      </c>
      <c r="BJ15" s="33" t="str">
        <f t="shared" si="19"/>
        <v/>
      </c>
      <c r="BK15" s="32" t="str">
        <f t="shared" si="20"/>
        <v/>
      </c>
      <c r="BL15" s="28" t="str">
        <f>IF(BK15&lt;&gt;"",ROWS(BK$3:BK15),"")</f>
        <v/>
      </c>
      <c r="BM15" s="28" t="str">
        <f>IFERROR(SMALL(BL$3:BL$17,ROWS(BL$3:BL15)),"")</f>
        <v/>
      </c>
      <c r="BN15" s="33" t="str">
        <f t="shared" si="21"/>
        <v/>
      </c>
      <c r="BO15" s="32" t="str">
        <f t="shared" si="22"/>
        <v/>
      </c>
      <c r="BP15" s="28" t="str">
        <f>IF(BO15&lt;&gt;"",ROWS(BO$3:BO15),"")</f>
        <v/>
      </c>
      <c r="BQ15" s="28" t="str">
        <f>IFERROR(SMALL(BP$3:BP$17,ROWS(BP$3:BP15)),"")</f>
        <v/>
      </c>
      <c r="BR15" s="33" t="str">
        <f t="shared" si="23"/>
        <v/>
      </c>
      <c r="BS15" s="32" t="str">
        <f t="shared" si="24"/>
        <v/>
      </c>
      <c r="BT15" s="28" t="str">
        <f>IF(BS15&lt;&gt;"",ROWS(BS$3:BS15),"")</f>
        <v/>
      </c>
      <c r="BU15" s="28" t="str">
        <f>IFERROR(SMALL(BT$3:BT$17,ROWS(BT$3:BT15)),"")</f>
        <v/>
      </c>
      <c r="BV15" s="33" t="str">
        <f t="shared" si="25"/>
        <v/>
      </c>
      <c r="CA15" t="b">
        <f t="shared" si="0"/>
        <v>1</v>
      </c>
      <c r="CB15" t="b">
        <f t="shared" si="1"/>
        <v>1</v>
      </c>
      <c r="CE15" s="41"/>
      <c r="CF15" s="41"/>
      <c r="CH15" s="41"/>
      <c r="CI15" s="41"/>
      <c r="CN15" t="b">
        <v>0</v>
      </c>
      <c r="CO15" t="b">
        <v>0</v>
      </c>
      <c r="CP15" t="b">
        <v>0</v>
      </c>
      <c r="CQ15" t="b">
        <v>0</v>
      </c>
    </row>
    <row r="16" spans="1:98" ht="16.5" customHeight="1" x14ac:dyDescent="0.25">
      <c r="A16" s="21"/>
      <c r="B16" s="14"/>
      <c r="C16" s="14"/>
      <c r="D16" s="14"/>
      <c r="E16" s="14"/>
      <c r="F16" s="14"/>
      <c r="G16" s="14"/>
      <c r="H16" s="14"/>
      <c r="I16" s="14"/>
      <c r="J16" s="89"/>
      <c r="K16" s="14"/>
      <c r="L16" s="14"/>
      <c r="M16" s="14"/>
      <c r="N16" s="72"/>
      <c r="O16" s="106"/>
      <c r="P16" s="107"/>
      <c r="Q16" s="107"/>
      <c r="R16" s="106"/>
      <c r="S16" s="108"/>
      <c r="T16" s="108"/>
      <c r="U16" s="106"/>
      <c r="V16" s="106"/>
      <c r="W16" s="106"/>
      <c r="X16" s="106"/>
      <c r="Y16" s="106"/>
      <c r="Z16" s="116"/>
      <c r="AA16" s="32" t="str">
        <f t="shared" si="2"/>
        <v/>
      </c>
      <c r="AB16" s="28" t="str">
        <f>IF(AA16&lt;&gt;"",ROWS(AA$3:AA16),"")</f>
        <v/>
      </c>
      <c r="AC16" s="28" t="str">
        <f>IFERROR(SMALL(AB$3:AB$17,ROWS(AB$3:AB16)),"")</f>
        <v/>
      </c>
      <c r="AD16" s="33" t="str">
        <f t="shared" si="3"/>
        <v/>
      </c>
      <c r="AE16" s="32" t="str">
        <f t="shared" si="4"/>
        <v/>
      </c>
      <c r="AF16" s="28" t="str">
        <f>IF(AE16&lt;&gt;"",ROWS(AE$3:AE16),"")</f>
        <v/>
      </c>
      <c r="AG16" s="28" t="str">
        <f>IFERROR(SMALL(AF$3:AF$17,ROWS(AF$3:AF16)),"")</f>
        <v/>
      </c>
      <c r="AH16" s="33" t="str">
        <f t="shared" si="5"/>
        <v/>
      </c>
      <c r="AI16" s="32" t="str">
        <f t="shared" si="6"/>
        <v/>
      </c>
      <c r="AJ16" s="28" t="str">
        <f>IF(AI16&lt;&gt;"",ROWS(AI$3:AI16),"")</f>
        <v/>
      </c>
      <c r="AK16" s="28" t="str">
        <f>IFERROR(SMALL(AJ$3:AJ$17,ROWS(AJ$3:AJ16)),"")</f>
        <v/>
      </c>
      <c r="AL16" s="33" t="str">
        <f t="shared" si="7"/>
        <v/>
      </c>
      <c r="AM16" s="32" t="str">
        <f t="shared" si="8"/>
        <v/>
      </c>
      <c r="AN16" s="28" t="str">
        <f>IF(AM16&lt;&gt;"",ROWS(AM$3:AM16),"")</f>
        <v/>
      </c>
      <c r="AO16" s="28" t="str">
        <f>IFERROR(SMALL(AN$3:AN$17,ROWS(AN$3:AN16)),"")</f>
        <v/>
      </c>
      <c r="AP16" s="33" t="str">
        <f t="shared" si="9"/>
        <v/>
      </c>
      <c r="AQ16" s="32" t="str">
        <f t="shared" si="10"/>
        <v/>
      </c>
      <c r="AR16" s="28" t="str">
        <f>IF(AQ16&lt;&gt;"",ROWS(AQ$3:AQ16),"")</f>
        <v/>
      </c>
      <c r="AS16" s="28" t="str">
        <f>IFERROR(SMALL(AR$3:AR$17,ROWS(AR$3:AR16)),"")</f>
        <v/>
      </c>
      <c r="AT16" s="33" t="str">
        <f t="shared" si="11"/>
        <v/>
      </c>
      <c r="AU16" s="32" t="str">
        <f t="shared" si="12"/>
        <v/>
      </c>
      <c r="AV16" s="28" t="str">
        <f>IF(AU16&lt;&gt;"",ROWS(AU$3:AU16),"")</f>
        <v/>
      </c>
      <c r="AW16" s="28" t="str">
        <f>IFERROR(SMALL(AV$3:AV$17,ROWS(AV$3:AV16)),"")</f>
        <v/>
      </c>
      <c r="AX16" s="33" t="str">
        <f t="shared" si="13"/>
        <v/>
      </c>
      <c r="AY16" s="32" t="str">
        <f t="shared" si="14"/>
        <v/>
      </c>
      <c r="AZ16" s="28" t="str">
        <f>IF(AY16&lt;&gt;"",ROWS(AY$3:AY16),"")</f>
        <v/>
      </c>
      <c r="BA16" s="28" t="str">
        <f>IFERROR(SMALL(AZ$3:AZ$17,ROWS(AZ$3:AZ16)),"")</f>
        <v/>
      </c>
      <c r="BB16" s="33" t="str">
        <f t="shared" si="15"/>
        <v/>
      </c>
      <c r="BC16" s="32" t="str">
        <f t="shared" si="16"/>
        <v/>
      </c>
      <c r="BD16" s="28" t="str">
        <f>IF(BC16&lt;&gt;"",ROWS(BC$3:BC16),"")</f>
        <v/>
      </c>
      <c r="BE16" s="28" t="str">
        <f>IFERROR(SMALL(BD$3:BD$17,ROWS(BD$3:BD16)),"")</f>
        <v/>
      </c>
      <c r="BF16" s="33" t="str">
        <f t="shared" si="17"/>
        <v/>
      </c>
      <c r="BG16" s="32" t="str">
        <f t="shared" si="18"/>
        <v/>
      </c>
      <c r="BH16" s="28" t="str">
        <f>IF(BG16&lt;&gt;"",ROWS(BG$3:BG16),"")</f>
        <v/>
      </c>
      <c r="BI16" s="28" t="str">
        <f>IFERROR(SMALL(BH$3:BH$17,ROWS(BH$3:BH16)),"")</f>
        <v/>
      </c>
      <c r="BJ16" s="33" t="str">
        <f t="shared" si="19"/>
        <v/>
      </c>
      <c r="BK16" s="32" t="str">
        <f t="shared" si="20"/>
        <v/>
      </c>
      <c r="BL16" s="28" t="str">
        <f>IF(BK16&lt;&gt;"",ROWS(BK$3:BK16),"")</f>
        <v/>
      </c>
      <c r="BM16" s="28" t="str">
        <f>IFERROR(SMALL(BL$3:BL$17,ROWS(BL$3:BL16)),"")</f>
        <v/>
      </c>
      <c r="BN16" s="33" t="str">
        <f t="shared" si="21"/>
        <v/>
      </c>
      <c r="BO16" s="32" t="str">
        <f t="shared" si="22"/>
        <v/>
      </c>
      <c r="BP16" s="28" t="str">
        <f>IF(BO16&lt;&gt;"",ROWS(BO$3:BO16),"")</f>
        <v/>
      </c>
      <c r="BQ16" s="28" t="str">
        <f>IFERROR(SMALL(BP$3:BP$17,ROWS(BP$3:BP16)),"")</f>
        <v/>
      </c>
      <c r="BR16" s="33" t="str">
        <f t="shared" si="23"/>
        <v/>
      </c>
      <c r="BS16" s="32" t="str">
        <f t="shared" si="24"/>
        <v/>
      </c>
      <c r="BT16" s="28" t="str">
        <f>IF(BS16&lt;&gt;"",ROWS(BS$3:BS16),"")</f>
        <v/>
      </c>
      <c r="BU16" s="28" t="str">
        <f>IFERROR(SMALL(BT$3:BT$17,ROWS(BT$3:BT16)),"")</f>
        <v/>
      </c>
      <c r="BV16" s="33" t="str">
        <f t="shared" si="25"/>
        <v/>
      </c>
      <c r="CA16" t="b">
        <f t="shared" si="0"/>
        <v>1</v>
      </c>
      <c r="CB16" t="b">
        <f t="shared" si="1"/>
        <v>1</v>
      </c>
      <c r="CE16" s="41"/>
      <c r="CF16" s="41"/>
      <c r="CH16" s="41"/>
      <c r="CI16" s="41"/>
      <c r="CN16" t="b">
        <v>0</v>
      </c>
      <c r="CO16" t="b">
        <v>0</v>
      </c>
      <c r="CP16" t="b">
        <v>0</v>
      </c>
      <c r="CQ16" t="b">
        <v>0</v>
      </c>
    </row>
    <row r="17" spans="1:87" ht="16.5" customHeight="1" x14ac:dyDescent="0.25">
      <c r="A17" s="16"/>
      <c r="B17" s="132" t="s">
        <v>19</v>
      </c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4"/>
      <c r="N17" s="77"/>
      <c r="O17" s="66"/>
      <c r="P17" s="66"/>
      <c r="Q17" s="66"/>
      <c r="R17" s="78"/>
      <c r="S17" s="66"/>
      <c r="T17" s="66"/>
      <c r="U17" s="66"/>
      <c r="V17" s="67"/>
      <c r="W17" s="66"/>
      <c r="X17" s="66"/>
      <c r="Y17" s="78"/>
      <c r="Z17" s="114"/>
      <c r="AA17" s="32" t="str">
        <f t="shared" si="2"/>
        <v/>
      </c>
      <c r="AB17" s="28" t="str">
        <f>IF(AA17&lt;&gt;"",ROWS(AA$3:AA17),"")</f>
        <v/>
      </c>
      <c r="AC17" s="28" t="str">
        <f>IFERROR(SMALL(AB$3:AB$17,ROWS(AB$3:AB17)),"")</f>
        <v/>
      </c>
      <c r="AD17" s="33" t="str">
        <f t="shared" si="3"/>
        <v/>
      </c>
      <c r="AE17" s="32" t="str">
        <f t="shared" si="4"/>
        <v/>
      </c>
      <c r="AF17" s="28" t="str">
        <f>IF(AE17&lt;&gt;"",ROWS(AE$3:AE17),"")</f>
        <v/>
      </c>
      <c r="AG17" s="28" t="str">
        <f>IFERROR(SMALL(AF$3:AF$17,ROWS(AF$3:AF17)),"")</f>
        <v/>
      </c>
      <c r="AH17" s="33" t="str">
        <f t="shared" si="5"/>
        <v/>
      </c>
      <c r="AI17" s="32" t="str">
        <f t="shared" si="6"/>
        <v/>
      </c>
      <c r="AJ17" s="28" t="str">
        <f>IF(AI17&lt;&gt;"",ROWS(AI$3:AI17),"")</f>
        <v/>
      </c>
      <c r="AK17" s="28" t="str">
        <f>IFERROR(SMALL(AJ$3:AJ$17,ROWS(AJ$3:AJ17)),"")</f>
        <v/>
      </c>
      <c r="AL17" s="33" t="str">
        <f t="shared" si="7"/>
        <v/>
      </c>
      <c r="AM17" s="32" t="str">
        <f t="shared" si="8"/>
        <v/>
      </c>
      <c r="AN17" s="28" t="str">
        <f>IF(AM17&lt;&gt;"",ROWS(AM$3:AM17),"")</f>
        <v/>
      </c>
      <c r="AO17" s="28" t="str">
        <f>IFERROR(SMALL(AN$3:AN$17,ROWS(AN$3:AN17)),"")</f>
        <v/>
      </c>
      <c r="AP17" s="33" t="str">
        <f t="shared" si="9"/>
        <v/>
      </c>
      <c r="AQ17" s="32" t="str">
        <f t="shared" si="10"/>
        <v/>
      </c>
      <c r="AR17" s="28" t="str">
        <f>IF(AQ17&lt;&gt;"",ROWS(AQ$3:AQ17),"")</f>
        <v/>
      </c>
      <c r="AS17" s="28" t="str">
        <f>IFERROR(SMALL(AR$3:AR$17,ROWS(AR$3:AR17)),"")</f>
        <v/>
      </c>
      <c r="AT17" s="33" t="str">
        <f t="shared" si="11"/>
        <v/>
      </c>
      <c r="AU17" s="32" t="str">
        <f t="shared" si="12"/>
        <v/>
      </c>
      <c r="AV17" s="28" t="str">
        <f>IF(AU17&lt;&gt;"",ROWS(AU$3:AU17),"")</f>
        <v/>
      </c>
      <c r="AW17" s="28" t="str">
        <f>IFERROR(SMALL(AV$3:AV$17,ROWS(AV$3:AV17)),"")</f>
        <v/>
      </c>
      <c r="AX17" s="33" t="str">
        <f t="shared" si="13"/>
        <v/>
      </c>
      <c r="AY17" s="32" t="str">
        <f t="shared" si="14"/>
        <v/>
      </c>
      <c r="AZ17" s="28" t="str">
        <f>IF(AY17&lt;&gt;"",ROWS(AY$3:AY17),"")</f>
        <v/>
      </c>
      <c r="BA17" s="28" t="str">
        <f>IFERROR(SMALL(AZ$3:AZ$17,ROWS(AZ$3:AZ17)),"")</f>
        <v/>
      </c>
      <c r="BB17" s="33" t="str">
        <f t="shared" si="15"/>
        <v/>
      </c>
      <c r="BC17" s="32" t="str">
        <f t="shared" si="16"/>
        <v/>
      </c>
      <c r="BD17" s="28" t="str">
        <f>IF(BC17&lt;&gt;"",ROWS(BC$3:BC17),"")</f>
        <v/>
      </c>
      <c r="BE17" s="28" t="str">
        <f>IFERROR(SMALL(BD$3:BD$17,ROWS(BD$3:BD17)),"")</f>
        <v/>
      </c>
      <c r="BF17" s="33" t="str">
        <f t="shared" si="17"/>
        <v/>
      </c>
      <c r="BG17" s="32" t="str">
        <f t="shared" si="18"/>
        <v/>
      </c>
      <c r="BH17" s="28" t="str">
        <f>IF(BG17&lt;&gt;"",ROWS(BG$3:BG17),"")</f>
        <v/>
      </c>
      <c r="BI17" s="28" t="str">
        <f>IFERROR(SMALL(BH$3:BH$17,ROWS(BH$3:BH17)),"")</f>
        <v/>
      </c>
      <c r="BJ17" s="33" t="str">
        <f t="shared" si="19"/>
        <v/>
      </c>
      <c r="BK17" s="32" t="str">
        <f t="shared" si="20"/>
        <v/>
      </c>
      <c r="BL17" s="28" t="str">
        <f>IF(BK17&lt;&gt;"",ROWS(BK$3:BK17),"")</f>
        <v/>
      </c>
      <c r="BM17" s="28" t="str">
        <f>IFERROR(SMALL(BL$3:BL$17,ROWS(BL$3:BL17)),"")</f>
        <v/>
      </c>
      <c r="BN17" s="33" t="str">
        <f t="shared" si="21"/>
        <v/>
      </c>
      <c r="BO17" s="32" t="str">
        <f t="shared" si="22"/>
        <v/>
      </c>
      <c r="BP17" s="28" t="str">
        <f>IF(BO17&lt;&gt;"",ROWS(BO$3:BO17),"")</f>
        <v/>
      </c>
      <c r="BQ17" s="28" t="str">
        <f>IFERROR(SMALL(BP$3:BP$17,ROWS(BP$3:BP17)),"")</f>
        <v/>
      </c>
      <c r="BR17" s="33" t="str">
        <f t="shared" si="23"/>
        <v/>
      </c>
      <c r="BS17" s="32" t="str">
        <f t="shared" si="24"/>
        <v/>
      </c>
      <c r="BT17" s="28" t="str">
        <f>IF(BS17&lt;&gt;"",ROWS(BS$3:BS17),"")</f>
        <v/>
      </c>
      <c r="BU17" s="28" t="str">
        <f>IFERROR(SMALL(BT$3:BT$17,ROWS(BT$3:BT17)),"")</f>
        <v/>
      </c>
      <c r="BV17" s="33" t="str">
        <f t="shared" si="25"/>
        <v/>
      </c>
      <c r="CE17" s="41"/>
      <c r="CF17" s="41"/>
      <c r="CH17" s="41"/>
      <c r="CI17" s="41"/>
    </row>
    <row r="18" spans="1:87" ht="16.5" customHeight="1" thickBot="1" x14ac:dyDescent="0.3">
      <c r="A18" s="15"/>
      <c r="B18" s="22"/>
      <c r="C18" s="57"/>
      <c r="D18" s="97">
        <v>8</v>
      </c>
      <c r="E18" s="97">
        <v>9</v>
      </c>
      <c r="F18" s="97">
        <v>10</v>
      </c>
      <c r="G18" s="97">
        <v>11</v>
      </c>
      <c r="H18" s="1"/>
      <c r="I18" s="97">
        <v>1</v>
      </c>
      <c r="J18" s="97">
        <v>2</v>
      </c>
      <c r="K18" s="97">
        <v>3</v>
      </c>
      <c r="L18" s="97">
        <v>4</v>
      </c>
      <c r="M18" s="58"/>
      <c r="N18" s="16"/>
      <c r="O18" s="61"/>
      <c r="P18" s="61"/>
      <c r="Q18" s="17"/>
      <c r="R18" s="24"/>
      <c r="S18" s="61"/>
      <c r="T18" s="61"/>
      <c r="U18" s="61"/>
      <c r="V18" s="61"/>
      <c r="W18" s="61"/>
      <c r="X18" s="61"/>
      <c r="Y18" s="67"/>
      <c r="Z18" s="61"/>
      <c r="CE18" s="41"/>
      <c r="CF18" s="41"/>
      <c r="CH18" s="41"/>
      <c r="CI18" s="41"/>
    </row>
    <row r="19" spans="1:87" ht="15.75" customHeight="1" thickTop="1" thickBot="1" x14ac:dyDescent="0.3">
      <c r="A19" s="16"/>
      <c r="B19" s="27"/>
      <c r="C19" s="63"/>
      <c r="D19" s="103" t="s">
        <v>72</v>
      </c>
      <c r="E19" s="103" t="s">
        <v>73</v>
      </c>
      <c r="F19" s="103" t="s">
        <v>23</v>
      </c>
      <c r="G19" s="104"/>
      <c r="H19" s="64"/>
      <c r="I19" s="103" t="s">
        <v>72</v>
      </c>
      <c r="J19" s="105" t="s">
        <v>73</v>
      </c>
      <c r="K19" s="103" t="s">
        <v>23</v>
      </c>
      <c r="L19" s="104"/>
      <c r="M19" s="65"/>
      <c r="N19" s="76"/>
      <c r="O19" s="92"/>
      <c r="P19" s="23"/>
      <c r="Q19" s="23"/>
      <c r="R19" s="86"/>
      <c r="S19" s="87"/>
      <c r="T19" s="88"/>
      <c r="U19" s="23"/>
      <c r="V19" s="23"/>
      <c r="Z19" s="59" t="s">
        <v>71</v>
      </c>
    </row>
    <row r="20" spans="1:87" ht="16.5" thickTop="1" thickBot="1" x14ac:dyDescent="0.3">
      <c r="A20" s="16"/>
      <c r="B20" s="27"/>
      <c r="C20" s="63"/>
      <c r="D20" s="103" t="s">
        <v>74</v>
      </c>
      <c r="E20" s="103" t="s">
        <v>75</v>
      </c>
      <c r="F20" s="103" t="s">
        <v>76</v>
      </c>
      <c r="G20" s="104"/>
      <c r="H20" s="64"/>
      <c r="I20" s="103" t="s">
        <v>74</v>
      </c>
      <c r="J20" s="105" t="s">
        <v>75</v>
      </c>
      <c r="K20" s="103" t="s">
        <v>76</v>
      </c>
      <c r="L20" s="104"/>
      <c r="M20" s="65"/>
      <c r="N20" s="85"/>
      <c r="R20" s="1"/>
      <c r="S20" s="69"/>
      <c r="Z20" t="b">
        <v>1</v>
      </c>
    </row>
    <row r="21" spans="1:87" ht="16.5" thickTop="1" thickBot="1" x14ac:dyDescent="0.3">
      <c r="A21" s="16"/>
      <c r="B21" s="27"/>
      <c r="C21" s="63"/>
      <c r="D21" s="103"/>
      <c r="E21" s="103" t="s">
        <v>77</v>
      </c>
      <c r="F21" s="103" t="s">
        <v>78</v>
      </c>
      <c r="G21" s="104"/>
      <c r="H21" s="64"/>
      <c r="I21" s="103"/>
      <c r="J21" s="103" t="s">
        <v>77</v>
      </c>
      <c r="K21" s="103" t="s">
        <v>78</v>
      </c>
      <c r="L21" s="104"/>
      <c r="M21" s="65"/>
      <c r="N21" s="76"/>
      <c r="O21" s="26"/>
      <c r="R21" s="70"/>
      <c r="S21" s="69"/>
    </row>
    <row r="22" spans="1:87" ht="16.5" thickTop="1" thickBot="1" x14ac:dyDescent="0.3">
      <c r="A22" s="16"/>
      <c r="B22" s="27"/>
      <c r="C22" s="63"/>
      <c r="D22" s="103"/>
      <c r="E22" s="103"/>
      <c r="F22" s="103"/>
      <c r="G22" s="104"/>
      <c r="H22" s="64"/>
      <c r="I22" s="103"/>
      <c r="J22" s="103"/>
      <c r="K22" s="103"/>
      <c r="L22" s="104"/>
      <c r="M22" s="65"/>
      <c r="N22" s="76"/>
      <c r="O22" s="26"/>
      <c r="R22" s="1"/>
      <c r="S22" s="81"/>
      <c r="T22" s="62"/>
    </row>
    <row r="23" spans="1:87" ht="16.5" thickTop="1" thickBot="1" x14ac:dyDescent="0.3">
      <c r="A23" s="61"/>
      <c r="B23" s="27"/>
      <c r="C23" s="63"/>
      <c r="D23" s="103"/>
      <c r="E23" s="103"/>
      <c r="F23" s="103"/>
      <c r="G23" s="104"/>
      <c r="H23" s="64"/>
      <c r="I23" s="103"/>
      <c r="J23" s="103"/>
      <c r="K23" s="103"/>
      <c r="L23" s="104"/>
      <c r="M23" s="65"/>
      <c r="N23" s="75"/>
      <c r="O23" s="26"/>
      <c r="R23" s="71"/>
      <c r="S23" s="69"/>
    </row>
    <row r="24" spans="1:87" ht="16.5" customHeight="1" thickTop="1" x14ac:dyDescent="0.25">
      <c r="A24" s="14"/>
      <c r="B24" s="14"/>
      <c r="C24" s="14"/>
      <c r="D24" s="19"/>
      <c r="E24" s="17"/>
      <c r="F24" s="18"/>
      <c r="G24" s="18"/>
      <c r="H24" s="18"/>
      <c r="I24" s="18"/>
      <c r="J24" s="18"/>
      <c r="K24" s="18"/>
      <c r="L24" s="18"/>
      <c r="M24" s="18"/>
      <c r="N24" s="79"/>
      <c r="O24" s="84"/>
      <c r="P24" s="80"/>
      <c r="Q24" s="80"/>
      <c r="R24" s="82"/>
      <c r="S24" s="1"/>
    </row>
    <row r="25" spans="1:87" ht="16.5" customHeight="1" x14ac:dyDescent="0.25">
      <c r="A25" s="22"/>
      <c r="B25" s="22"/>
      <c r="C25" s="22"/>
      <c r="D25" s="17"/>
      <c r="E25" s="17"/>
      <c r="F25" s="17"/>
      <c r="G25" s="17"/>
      <c r="H25" s="17"/>
      <c r="I25" s="17"/>
      <c r="J25" s="24"/>
      <c r="K25" s="17"/>
      <c r="L25" s="17"/>
      <c r="M25" s="24"/>
      <c r="N25" s="25"/>
      <c r="O25" s="83"/>
      <c r="P25" s="82"/>
      <c r="Q25" s="82"/>
      <c r="R25" s="82"/>
      <c r="S25" s="69"/>
    </row>
    <row r="26" spans="1:87" x14ac:dyDescent="0.25">
      <c r="A26" s="23"/>
      <c r="B26" s="23"/>
      <c r="C26" s="23"/>
      <c r="D26" s="23"/>
      <c r="E26" s="23"/>
      <c r="F26" s="23"/>
      <c r="G26" s="23"/>
      <c r="H26" s="23"/>
      <c r="I26" s="23"/>
      <c r="K26" s="23"/>
      <c r="L26" s="23"/>
      <c r="O26" s="68"/>
      <c r="P26" s="1"/>
    </row>
    <row r="27" spans="1:87" x14ac:dyDescent="0.25">
      <c r="G27" s="1"/>
    </row>
  </sheetData>
  <mergeCells count="14">
    <mergeCell ref="CS1:CT1"/>
    <mergeCell ref="B17:M17"/>
    <mergeCell ref="BO1:BR1"/>
    <mergeCell ref="BS1:BV1"/>
    <mergeCell ref="AA1:AD1"/>
    <mergeCell ref="AE1:AH1"/>
    <mergeCell ref="AI1:AL1"/>
    <mergeCell ref="AM1:AP1"/>
    <mergeCell ref="AQ1:AT1"/>
    <mergeCell ref="AU1:AX1"/>
    <mergeCell ref="AY1:BB1"/>
    <mergeCell ref="BC1:BF1"/>
    <mergeCell ref="BG1:BJ1"/>
    <mergeCell ref="BK1:BN1"/>
  </mergeCells>
  <conditionalFormatting sqref="B3:M5">
    <cfRule type="expression" dxfId="39" priority="79">
      <formula>COUNTIF(B$3:B$5,"")=3</formula>
    </cfRule>
  </conditionalFormatting>
  <conditionalFormatting sqref="B6:M8">
    <cfRule type="expression" dxfId="38" priority="67">
      <formula>COUNTIF(B$6:B$8,"")=3</formula>
    </cfRule>
  </conditionalFormatting>
  <conditionalFormatting sqref="B9:M11">
    <cfRule type="expression" dxfId="37" priority="66">
      <formula>COUNTIF(B$9:B$11,"")=3</formula>
    </cfRule>
  </conditionalFormatting>
  <conditionalFormatting sqref="B12:M14">
    <cfRule type="expression" dxfId="36" priority="65">
      <formula>COUNTIF(B$12:B$14,"")=3</formula>
    </cfRule>
  </conditionalFormatting>
  <conditionalFormatting sqref="B3:B15 B19:B23">
    <cfRule type="duplicateValues" dxfId="35" priority="31"/>
  </conditionalFormatting>
  <conditionalFormatting sqref="D3:D15 D19:D23">
    <cfRule type="duplicateValues" dxfId="34" priority="28"/>
  </conditionalFormatting>
  <conditionalFormatting sqref="E3:E15 E19:E23">
    <cfRule type="duplicateValues" dxfId="33" priority="27"/>
  </conditionalFormatting>
  <conditionalFormatting sqref="F3:F15 F19:F23">
    <cfRule type="duplicateValues" dxfId="32" priority="26"/>
  </conditionalFormatting>
  <conditionalFormatting sqref="G3:G15 G19:G23">
    <cfRule type="duplicateValues" dxfId="31" priority="25"/>
  </conditionalFormatting>
  <conditionalFormatting sqref="H3:H15 H19:H23">
    <cfRule type="duplicateValues" dxfId="30" priority="24"/>
  </conditionalFormatting>
  <conditionalFormatting sqref="I3:I15 I19:I23">
    <cfRule type="duplicateValues" dxfId="29" priority="23"/>
  </conditionalFormatting>
  <conditionalFormatting sqref="J3:J15 J19:J23">
    <cfRule type="duplicateValues" dxfId="28" priority="22"/>
  </conditionalFormatting>
  <conditionalFormatting sqref="K3:K15 K19:K23">
    <cfRule type="duplicateValues" dxfId="27" priority="21"/>
  </conditionalFormatting>
  <conditionalFormatting sqref="L3:L15 L19:L23">
    <cfRule type="duplicateValues" dxfId="26" priority="20"/>
  </conditionalFormatting>
  <conditionalFormatting sqref="M3:M15 M19:M23">
    <cfRule type="duplicateValues" dxfId="25" priority="19"/>
  </conditionalFormatting>
  <conditionalFormatting sqref="B2">
    <cfRule type="expression" dxfId="24" priority="18">
      <formula>AD3=""</formula>
    </cfRule>
  </conditionalFormatting>
  <conditionalFormatting sqref="C2">
    <cfRule type="expression" dxfId="23" priority="17">
      <formula>AH3=""</formula>
    </cfRule>
  </conditionalFormatting>
  <conditionalFormatting sqref="D2">
    <cfRule type="expression" dxfId="22" priority="16">
      <formula>AL3=""</formula>
    </cfRule>
  </conditionalFormatting>
  <conditionalFormatting sqref="E2">
    <cfRule type="expression" dxfId="21" priority="15">
      <formula>AP3=""</formula>
    </cfRule>
  </conditionalFormatting>
  <conditionalFormatting sqref="F2">
    <cfRule type="expression" dxfId="20" priority="14">
      <formula>AT3=""</formula>
    </cfRule>
  </conditionalFormatting>
  <conditionalFormatting sqref="G2">
    <cfRule type="expression" dxfId="19" priority="13">
      <formula>AX3=""</formula>
    </cfRule>
  </conditionalFormatting>
  <conditionalFormatting sqref="H2">
    <cfRule type="expression" dxfId="18" priority="12">
      <formula>BB3=""</formula>
    </cfRule>
  </conditionalFormatting>
  <conditionalFormatting sqref="I2">
    <cfRule type="expression" dxfId="17" priority="11">
      <formula>BF3=""</formula>
    </cfRule>
  </conditionalFormatting>
  <conditionalFormatting sqref="J2">
    <cfRule type="expression" dxfId="16" priority="10">
      <formula>BJ3=""</formula>
    </cfRule>
  </conditionalFormatting>
  <conditionalFormatting sqref="K2">
    <cfRule type="expression" dxfId="15" priority="9">
      <formula>BN3=""</formula>
    </cfRule>
  </conditionalFormatting>
  <conditionalFormatting sqref="L2">
    <cfRule type="expression" dxfId="14" priority="8">
      <formula>BR3=""</formula>
    </cfRule>
  </conditionalFormatting>
  <conditionalFormatting sqref="M2">
    <cfRule type="expression" dxfId="13" priority="7">
      <formula>BV3=""</formula>
    </cfRule>
  </conditionalFormatting>
  <conditionalFormatting sqref="D18:G18">
    <cfRule type="expression" dxfId="12" priority="6">
      <formula>AND($CA$2:$CA$15)</formula>
    </cfRule>
  </conditionalFormatting>
  <conditionalFormatting sqref="I18:L18">
    <cfRule type="expression" dxfId="11" priority="5">
      <formula>AND($CB$2:$CB$15)</formula>
    </cfRule>
  </conditionalFormatting>
  <conditionalFormatting sqref="C3:C15 C19:C23">
    <cfRule type="duplicateValues" dxfId="10" priority="29"/>
  </conditionalFormatting>
  <conditionalFormatting sqref="D19:G23">
    <cfRule type="duplicateValues" dxfId="9" priority="3"/>
  </conditionalFormatting>
  <conditionalFormatting sqref="I19:L23">
    <cfRule type="duplicateValues" dxfId="8" priority="2"/>
  </conditionalFormatting>
  <dataValidations count="18">
    <dataValidation type="list" allowBlank="1" showInputMessage="1" sqref="B3:B15 B19:B23" xr:uid="{E6CC291A-BB94-4860-AB2E-0ED8FF2B664D}">
      <formula1>List1</formula1>
    </dataValidation>
    <dataValidation type="list" allowBlank="1" showInputMessage="1" sqref="C3:C15 C19:C23" xr:uid="{E51DD657-ECA7-4D12-B837-7C7B80200BC7}">
      <formula1>List2</formula1>
    </dataValidation>
    <dataValidation type="list" allowBlank="1" showInputMessage="1" sqref="D3:D15 D19:D23" xr:uid="{57EE2F0D-1E93-439F-A07B-D2FD266C5E6C}">
      <formula1>List3</formula1>
    </dataValidation>
    <dataValidation type="list" allowBlank="1" showInputMessage="1" sqref="E3:E15 E19:E23" xr:uid="{EC575684-A709-413D-8661-1F8705BEE3A9}">
      <formula1>List4</formula1>
    </dataValidation>
    <dataValidation type="list" allowBlank="1" showInputMessage="1" sqref="F3:F15 F19:F23" xr:uid="{556A6368-82EA-49A9-94CE-558556816BEF}">
      <formula1>List5</formula1>
    </dataValidation>
    <dataValidation type="list" allowBlank="1" showInputMessage="1" sqref="G3:G15 G19:G23" xr:uid="{3C7BC687-50BD-4E6B-982A-FCE038BE36B4}">
      <formula1>List6</formula1>
    </dataValidation>
    <dataValidation type="list" allowBlank="1" showInputMessage="1" sqref="H3:H15 H19:H23" xr:uid="{1F1CDB63-45AA-4CA9-9C2C-369A333D1E15}">
      <formula1>List7</formula1>
    </dataValidation>
    <dataValidation type="list" allowBlank="1" showInputMessage="1" sqref="I3:I15 I19:I23" xr:uid="{6D354E5A-DF2A-4FF0-B6BD-EB0292459A6C}">
      <formula1>List8</formula1>
    </dataValidation>
    <dataValidation type="list" allowBlank="1" showInputMessage="1" sqref="J3:J15 J19:J23" xr:uid="{7EF7DC4F-3156-4595-90B5-A540D5754DF3}">
      <formula1>List9</formula1>
    </dataValidation>
    <dataValidation type="list" allowBlank="1" showInputMessage="1" sqref="K3:K15 K19:K23" xr:uid="{3D87F2BE-EB2C-4DBB-8BD2-490791B3AFCA}">
      <formula1>List10</formula1>
    </dataValidation>
    <dataValidation type="list" allowBlank="1" showInputMessage="1" sqref="L3:L15 L19:L23" xr:uid="{0AC3F634-BFC0-4A6F-B7A1-E343A0EB216F}">
      <formula1>List11</formula1>
    </dataValidation>
    <dataValidation type="list" allowBlank="1" showInputMessage="1" sqref="M3:M15 M19:M23" xr:uid="{3A053499-F826-46D3-AB47-26EB146B060E}">
      <formula1>List12</formula1>
    </dataValidation>
    <dataValidation type="list" allowBlank="1" showInputMessage="1" showErrorMessage="1" sqref="P2:P16" xr:uid="{CA4BB243-20F7-4979-94E0-0CBC3519CA48}">
      <formula1>StartTime</formula1>
    </dataValidation>
    <dataValidation type="list" allowBlank="1" showInputMessage="1" sqref="Q2:Q16" xr:uid="{BD6926BC-38CE-48C2-9A77-B0E3D69743A3}">
      <formula1>EndTime</formula1>
    </dataValidation>
    <dataValidation type="list" allowBlank="1" showInputMessage="1" showErrorMessage="1" sqref="R2:R16" xr:uid="{7B83A775-044E-48B4-A36B-B3C724D540C8}">
      <formula1>"A,B,C,D"</formula1>
    </dataValidation>
    <dataValidation type="list" allowBlank="1" showInputMessage="1" showErrorMessage="1" sqref="S2:S16" xr:uid="{D00C9E9C-33FE-400E-B20A-C91699B5CC78}">
      <formula1>"8:00 AM, 9:00 AM, 10:00 AM, 11:00 AM"</formula1>
    </dataValidation>
    <dataValidation type="list" allowBlank="1" showInputMessage="1" showErrorMessage="1" sqref="T2:T16" xr:uid="{70E26AFB-1B4C-4204-BD5B-A5CC5177E09A}">
      <formula1>"1:00 PM, 2:00 PM, 3:00 PM, 4:00 PM"</formula1>
    </dataValidation>
    <dataValidation type="list" allowBlank="1" showInputMessage="1" showErrorMessage="1" sqref="Z20" xr:uid="{8F9C1813-7281-441E-919F-20FEE8F01600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2" r:id="rId4" name="CheckBox154">
          <controlPr defaultSize="0" autoLine="0" linkedCell="CQ16" r:id="rId5">
            <anchor moveWithCells="1">
              <from>
                <xdr:col>24</xdr:col>
                <xdr:colOff>9525</xdr:colOff>
                <xdr:row>15</xdr:row>
                <xdr:rowOff>9525</xdr:rowOff>
              </from>
              <to>
                <xdr:col>25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282" r:id="rId4" name="CheckBox154"/>
      </mc:Fallback>
    </mc:AlternateContent>
    <mc:AlternateContent xmlns:mc="http://schemas.openxmlformats.org/markup-compatibility/2006">
      <mc:Choice Requires="x14">
        <control shapeId="1281" r:id="rId6" name="CheckBox153">
          <controlPr defaultSize="0" autoLine="0" linkedCell="CP16" r:id="rId7">
            <anchor moveWithCells="1">
              <from>
                <xdr:col>23</xdr:col>
                <xdr:colOff>9525</xdr:colOff>
                <xdr:row>15</xdr:row>
                <xdr:rowOff>9525</xdr:rowOff>
              </from>
              <to>
                <xdr:col>24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281" r:id="rId6" name="CheckBox153"/>
      </mc:Fallback>
    </mc:AlternateContent>
    <mc:AlternateContent xmlns:mc="http://schemas.openxmlformats.org/markup-compatibility/2006">
      <mc:Choice Requires="x14">
        <control shapeId="1280" r:id="rId8" name="CheckBox152">
          <controlPr defaultSize="0" autoLine="0" linkedCell="CO16" r:id="rId9">
            <anchor moveWithCells="1">
              <from>
                <xdr:col>22</xdr:col>
                <xdr:colOff>9525</xdr:colOff>
                <xdr:row>15</xdr:row>
                <xdr:rowOff>9525</xdr:rowOff>
              </from>
              <to>
                <xdr:col>23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280" r:id="rId8" name="CheckBox152"/>
      </mc:Fallback>
    </mc:AlternateContent>
    <mc:AlternateContent xmlns:mc="http://schemas.openxmlformats.org/markup-compatibility/2006">
      <mc:Choice Requires="x14">
        <control shapeId="1279" r:id="rId10" name="CheckBox151">
          <controlPr defaultSize="0" autoLine="0" linkedCell="CN16" r:id="rId11">
            <anchor moveWithCells="1">
              <from>
                <xdr:col>21</xdr:col>
                <xdr:colOff>9525</xdr:colOff>
                <xdr:row>15</xdr:row>
                <xdr:rowOff>9525</xdr:rowOff>
              </from>
              <to>
                <xdr:col>22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279" r:id="rId10" name="CheckBox151"/>
      </mc:Fallback>
    </mc:AlternateContent>
    <mc:AlternateContent xmlns:mc="http://schemas.openxmlformats.org/markup-compatibility/2006">
      <mc:Choice Requires="x14">
        <control shapeId="1278" r:id="rId12" name="CheckBox144">
          <controlPr defaultSize="0" autoLine="0" linkedCell="CQ15" r:id="rId13">
            <anchor moveWithCells="1">
              <from>
                <xdr:col>24</xdr:col>
                <xdr:colOff>9525</xdr:colOff>
                <xdr:row>14</xdr:row>
                <xdr:rowOff>9525</xdr:rowOff>
              </from>
              <to>
                <xdr:col>25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278" r:id="rId12" name="CheckBox144"/>
      </mc:Fallback>
    </mc:AlternateContent>
    <mc:AlternateContent xmlns:mc="http://schemas.openxmlformats.org/markup-compatibility/2006">
      <mc:Choice Requires="x14">
        <control shapeId="1277" r:id="rId14" name="CheckBox143">
          <controlPr defaultSize="0" autoLine="0" linkedCell="CP15" r:id="rId15">
            <anchor moveWithCells="1">
              <from>
                <xdr:col>23</xdr:col>
                <xdr:colOff>9525</xdr:colOff>
                <xdr:row>14</xdr:row>
                <xdr:rowOff>9525</xdr:rowOff>
              </from>
              <to>
                <xdr:col>24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277" r:id="rId14" name="CheckBox143"/>
      </mc:Fallback>
    </mc:AlternateContent>
    <mc:AlternateContent xmlns:mc="http://schemas.openxmlformats.org/markup-compatibility/2006">
      <mc:Choice Requires="x14">
        <control shapeId="1276" r:id="rId16" name="CheckBox142">
          <controlPr defaultSize="0" autoLine="0" linkedCell="CO15" r:id="rId17">
            <anchor moveWithCells="1">
              <from>
                <xdr:col>22</xdr:col>
                <xdr:colOff>9525</xdr:colOff>
                <xdr:row>14</xdr:row>
                <xdr:rowOff>9525</xdr:rowOff>
              </from>
              <to>
                <xdr:col>23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276" r:id="rId16" name="CheckBox142"/>
      </mc:Fallback>
    </mc:AlternateContent>
    <mc:AlternateContent xmlns:mc="http://schemas.openxmlformats.org/markup-compatibility/2006">
      <mc:Choice Requires="x14">
        <control shapeId="1275" r:id="rId18" name="CheckBox141">
          <controlPr defaultSize="0" autoLine="0" linkedCell="CN15" r:id="rId19">
            <anchor moveWithCells="1">
              <from>
                <xdr:col>21</xdr:col>
                <xdr:colOff>9525</xdr:colOff>
                <xdr:row>14</xdr:row>
                <xdr:rowOff>9525</xdr:rowOff>
              </from>
              <to>
                <xdr:col>22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275" r:id="rId18" name="CheckBox141"/>
      </mc:Fallback>
    </mc:AlternateContent>
    <mc:AlternateContent xmlns:mc="http://schemas.openxmlformats.org/markup-compatibility/2006">
      <mc:Choice Requires="x14">
        <control shapeId="1274" r:id="rId20" name="CheckBox134">
          <controlPr defaultSize="0" autoLine="0" linkedCell="CQ14" r:id="rId21">
            <anchor moveWithCells="1">
              <from>
                <xdr:col>24</xdr:col>
                <xdr:colOff>9525</xdr:colOff>
                <xdr:row>13</xdr:row>
                <xdr:rowOff>9525</xdr:rowOff>
              </from>
              <to>
                <xdr:col>25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274" r:id="rId20" name="CheckBox134"/>
      </mc:Fallback>
    </mc:AlternateContent>
    <mc:AlternateContent xmlns:mc="http://schemas.openxmlformats.org/markup-compatibility/2006">
      <mc:Choice Requires="x14">
        <control shapeId="1273" r:id="rId22" name="CheckBox133">
          <controlPr defaultSize="0" autoLine="0" linkedCell="CP14" r:id="rId23">
            <anchor moveWithCells="1">
              <from>
                <xdr:col>23</xdr:col>
                <xdr:colOff>9525</xdr:colOff>
                <xdr:row>13</xdr:row>
                <xdr:rowOff>9525</xdr:rowOff>
              </from>
              <to>
                <xdr:col>24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273" r:id="rId22" name="CheckBox133"/>
      </mc:Fallback>
    </mc:AlternateContent>
    <mc:AlternateContent xmlns:mc="http://schemas.openxmlformats.org/markup-compatibility/2006">
      <mc:Choice Requires="x14">
        <control shapeId="1272" r:id="rId24" name="CheckBox132">
          <controlPr defaultSize="0" autoLine="0" linkedCell="CO14" r:id="rId25">
            <anchor moveWithCells="1">
              <from>
                <xdr:col>22</xdr:col>
                <xdr:colOff>9525</xdr:colOff>
                <xdr:row>13</xdr:row>
                <xdr:rowOff>9525</xdr:rowOff>
              </from>
              <to>
                <xdr:col>23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272" r:id="rId24" name="CheckBox132"/>
      </mc:Fallback>
    </mc:AlternateContent>
    <mc:AlternateContent xmlns:mc="http://schemas.openxmlformats.org/markup-compatibility/2006">
      <mc:Choice Requires="x14">
        <control shapeId="1271" r:id="rId26" name="CheckBox131">
          <controlPr defaultSize="0" autoLine="0" linkedCell="CN14" r:id="rId27">
            <anchor moveWithCells="1">
              <from>
                <xdr:col>21</xdr:col>
                <xdr:colOff>9525</xdr:colOff>
                <xdr:row>13</xdr:row>
                <xdr:rowOff>9525</xdr:rowOff>
              </from>
              <to>
                <xdr:col>22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271" r:id="rId26" name="CheckBox131"/>
      </mc:Fallback>
    </mc:AlternateContent>
    <mc:AlternateContent xmlns:mc="http://schemas.openxmlformats.org/markup-compatibility/2006">
      <mc:Choice Requires="x14">
        <control shapeId="1270" r:id="rId28" name="CheckBox124">
          <controlPr defaultSize="0" autoLine="0" linkedCell="CQ13" r:id="rId29">
            <anchor moveWithCells="1">
              <from>
                <xdr:col>24</xdr:col>
                <xdr:colOff>9525</xdr:colOff>
                <xdr:row>12</xdr:row>
                <xdr:rowOff>9525</xdr:rowOff>
              </from>
              <to>
                <xdr:col>25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270" r:id="rId28" name="CheckBox124"/>
      </mc:Fallback>
    </mc:AlternateContent>
    <mc:AlternateContent xmlns:mc="http://schemas.openxmlformats.org/markup-compatibility/2006">
      <mc:Choice Requires="x14">
        <control shapeId="1269" r:id="rId30" name="CheckBox123">
          <controlPr defaultSize="0" autoLine="0" linkedCell="CP13" r:id="rId31">
            <anchor moveWithCells="1">
              <from>
                <xdr:col>23</xdr:col>
                <xdr:colOff>9525</xdr:colOff>
                <xdr:row>12</xdr:row>
                <xdr:rowOff>9525</xdr:rowOff>
              </from>
              <to>
                <xdr:col>24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269" r:id="rId30" name="CheckBox123"/>
      </mc:Fallback>
    </mc:AlternateContent>
    <mc:AlternateContent xmlns:mc="http://schemas.openxmlformats.org/markup-compatibility/2006">
      <mc:Choice Requires="x14">
        <control shapeId="1268" r:id="rId32" name="CheckBox122">
          <controlPr defaultSize="0" autoLine="0" linkedCell="CO13" r:id="rId33">
            <anchor moveWithCells="1">
              <from>
                <xdr:col>22</xdr:col>
                <xdr:colOff>9525</xdr:colOff>
                <xdr:row>12</xdr:row>
                <xdr:rowOff>9525</xdr:rowOff>
              </from>
              <to>
                <xdr:col>23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268" r:id="rId32" name="CheckBox122"/>
      </mc:Fallback>
    </mc:AlternateContent>
    <mc:AlternateContent xmlns:mc="http://schemas.openxmlformats.org/markup-compatibility/2006">
      <mc:Choice Requires="x14">
        <control shapeId="1267" r:id="rId34" name="CheckBox121">
          <controlPr defaultSize="0" autoLine="0" linkedCell="CN13" r:id="rId35">
            <anchor moveWithCells="1">
              <from>
                <xdr:col>21</xdr:col>
                <xdr:colOff>9525</xdr:colOff>
                <xdr:row>12</xdr:row>
                <xdr:rowOff>9525</xdr:rowOff>
              </from>
              <to>
                <xdr:col>22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267" r:id="rId34" name="CheckBox121"/>
      </mc:Fallback>
    </mc:AlternateContent>
    <mc:AlternateContent xmlns:mc="http://schemas.openxmlformats.org/markup-compatibility/2006">
      <mc:Choice Requires="x14">
        <control shapeId="1266" r:id="rId36" name="CheckBox114">
          <controlPr defaultSize="0" autoLine="0" linkedCell="CQ12" r:id="rId37">
            <anchor moveWithCells="1">
              <from>
                <xdr:col>24</xdr:col>
                <xdr:colOff>9525</xdr:colOff>
                <xdr:row>11</xdr:row>
                <xdr:rowOff>9525</xdr:rowOff>
              </from>
              <to>
                <xdr:col>25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266" r:id="rId36" name="CheckBox114"/>
      </mc:Fallback>
    </mc:AlternateContent>
    <mc:AlternateContent xmlns:mc="http://schemas.openxmlformats.org/markup-compatibility/2006">
      <mc:Choice Requires="x14">
        <control shapeId="1265" r:id="rId38" name="CheckBox113">
          <controlPr defaultSize="0" autoLine="0" linkedCell="CP12" r:id="rId39">
            <anchor moveWithCells="1">
              <from>
                <xdr:col>23</xdr:col>
                <xdr:colOff>9525</xdr:colOff>
                <xdr:row>11</xdr:row>
                <xdr:rowOff>9525</xdr:rowOff>
              </from>
              <to>
                <xdr:col>24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265" r:id="rId38" name="CheckBox113"/>
      </mc:Fallback>
    </mc:AlternateContent>
    <mc:AlternateContent xmlns:mc="http://schemas.openxmlformats.org/markup-compatibility/2006">
      <mc:Choice Requires="x14">
        <control shapeId="1264" r:id="rId40" name="CheckBox112">
          <controlPr defaultSize="0" autoLine="0" linkedCell="CO12" r:id="rId41">
            <anchor moveWithCells="1">
              <from>
                <xdr:col>22</xdr:col>
                <xdr:colOff>9525</xdr:colOff>
                <xdr:row>11</xdr:row>
                <xdr:rowOff>9525</xdr:rowOff>
              </from>
              <to>
                <xdr:col>23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264" r:id="rId40" name="CheckBox112"/>
      </mc:Fallback>
    </mc:AlternateContent>
    <mc:AlternateContent xmlns:mc="http://schemas.openxmlformats.org/markup-compatibility/2006">
      <mc:Choice Requires="x14">
        <control shapeId="1263" r:id="rId42" name="CheckBox111">
          <controlPr defaultSize="0" autoLine="0" linkedCell="CN12" r:id="rId43">
            <anchor moveWithCells="1">
              <from>
                <xdr:col>21</xdr:col>
                <xdr:colOff>9525</xdr:colOff>
                <xdr:row>11</xdr:row>
                <xdr:rowOff>9525</xdr:rowOff>
              </from>
              <to>
                <xdr:col>22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263" r:id="rId42" name="CheckBox111"/>
      </mc:Fallback>
    </mc:AlternateContent>
    <mc:AlternateContent xmlns:mc="http://schemas.openxmlformats.org/markup-compatibility/2006">
      <mc:Choice Requires="x14">
        <control shapeId="1262" r:id="rId44" name="CheckBox104">
          <controlPr defaultSize="0" autoLine="0" linkedCell="CQ11" r:id="rId45">
            <anchor moveWithCells="1">
              <from>
                <xdr:col>24</xdr:col>
                <xdr:colOff>9525</xdr:colOff>
                <xdr:row>10</xdr:row>
                <xdr:rowOff>9525</xdr:rowOff>
              </from>
              <to>
                <xdr:col>25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262" r:id="rId44" name="CheckBox104"/>
      </mc:Fallback>
    </mc:AlternateContent>
    <mc:AlternateContent xmlns:mc="http://schemas.openxmlformats.org/markup-compatibility/2006">
      <mc:Choice Requires="x14">
        <control shapeId="1261" r:id="rId46" name="CheckBox103">
          <controlPr defaultSize="0" autoLine="0" linkedCell="CP11" r:id="rId47">
            <anchor moveWithCells="1">
              <from>
                <xdr:col>23</xdr:col>
                <xdr:colOff>9525</xdr:colOff>
                <xdr:row>10</xdr:row>
                <xdr:rowOff>9525</xdr:rowOff>
              </from>
              <to>
                <xdr:col>24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261" r:id="rId46" name="CheckBox103"/>
      </mc:Fallback>
    </mc:AlternateContent>
    <mc:AlternateContent xmlns:mc="http://schemas.openxmlformats.org/markup-compatibility/2006">
      <mc:Choice Requires="x14">
        <control shapeId="1260" r:id="rId48" name="CheckBox102">
          <controlPr defaultSize="0" autoLine="0" linkedCell="CO11" r:id="rId49">
            <anchor moveWithCells="1">
              <from>
                <xdr:col>22</xdr:col>
                <xdr:colOff>9525</xdr:colOff>
                <xdr:row>10</xdr:row>
                <xdr:rowOff>9525</xdr:rowOff>
              </from>
              <to>
                <xdr:col>23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260" r:id="rId48" name="CheckBox102"/>
      </mc:Fallback>
    </mc:AlternateContent>
    <mc:AlternateContent xmlns:mc="http://schemas.openxmlformats.org/markup-compatibility/2006">
      <mc:Choice Requires="x14">
        <control shapeId="1259" r:id="rId50" name="CheckBox101">
          <controlPr defaultSize="0" autoLine="0" linkedCell="CN11" r:id="rId51">
            <anchor moveWithCells="1">
              <from>
                <xdr:col>21</xdr:col>
                <xdr:colOff>9525</xdr:colOff>
                <xdr:row>10</xdr:row>
                <xdr:rowOff>9525</xdr:rowOff>
              </from>
              <to>
                <xdr:col>22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259" r:id="rId50" name="CheckBox101"/>
      </mc:Fallback>
    </mc:AlternateContent>
    <mc:AlternateContent xmlns:mc="http://schemas.openxmlformats.org/markup-compatibility/2006">
      <mc:Choice Requires="x14">
        <control shapeId="1258" r:id="rId52" name="CheckBox94">
          <controlPr defaultSize="0" autoLine="0" linkedCell="CQ10" r:id="rId53">
            <anchor moveWithCells="1">
              <from>
                <xdr:col>24</xdr:col>
                <xdr:colOff>9525</xdr:colOff>
                <xdr:row>9</xdr:row>
                <xdr:rowOff>9525</xdr:rowOff>
              </from>
              <to>
                <xdr:col>25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258" r:id="rId52" name="CheckBox94"/>
      </mc:Fallback>
    </mc:AlternateContent>
    <mc:AlternateContent xmlns:mc="http://schemas.openxmlformats.org/markup-compatibility/2006">
      <mc:Choice Requires="x14">
        <control shapeId="1257" r:id="rId54" name="CheckBox93">
          <controlPr defaultSize="0" autoLine="0" linkedCell="CP10" r:id="rId55">
            <anchor moveWithCells="1">
              <from>
                <xdr:col>23</xdr:col>
                <xdr:colOff>9525</xdr:colOff>
                <xdr:row>9</xdr:row>
                <xdr:rowOff>9525</xdr:rowOff>
              </from>
              <to>
                <xdr:col>24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257" r:id="rId54" name="CheckBox93"/>
      </mc:Fallback>
    </mc:AlternateContent>
    <mc:AlternateContent xmlns:mc="http://schemas.openxmlformats.org/markup-compatibility/2006">
      <mc:Choice Requires="x14">
        <control shapeId="1256" r:id="rId56" name="CheckBox92">
          <controlPr defaultSize="0" autoLine="0" linkedCell="CO10" r:id="rId57">
            <anchor moveWithCells="1">
              <from>
                <xdr:col>22</xdr:col>
                <xdr:colOff>9525</xdr:colOff>
                <xdr:row>9</xdr:row>
                <xdr:rowOff>9525</xdr:rowOff>
              </from>
              <to>
                <xdr:col>23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256" r:id="rId56" name="CheckBox92"/>
      </mc:Fallback>
    </mc:AlternateContent>
    <mc:AlternateContent xmlns:mc="http://schemas.openxmlformats.org/markup-compatibility/2006">
      <mc:Choice Requires="x14">
        <control shapeId="1255" r:id="rId58" name="CheckBox91">
          <controlPr defaultSize="0" autoLine="0" linkedCell="CN10" r:id="rId59">
            <anchor moveWithCells="1">
              <from>
                <xdr:col>21</xdr:col>
                <xdr:colOff>9525</xdr:colOff>
                <xdr:row>9</xdr:row>
                <xdr:rowOff>9525</xdr:rowOff>
              </from>
              <to>
                <xdr:col>22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255" r:id="rId58" name="CheckBox91"/>
      </mc:Fallback>
    </mc:AlternateContent>
    <mc:AlternateContent xmlns:mc="http://schemas.openxmlformats.org/markup-compatibility/2006">
      <mc:Choice Requires="x14">
        <control shapeId="1254" r:id="rId60" name="CheckBox84">
          <controlPr defaultSize="0" autoLine="0" linkedCell="CQ9" r:id="rId61">
            <anchor moveWithCells="1">
              <from>
                <xdr:col>24</xdr:col>
                <xdr:colOff>9525</xdr:colOff>
                <xdr:row>8</xdr:row>
                <xdr:rowOff>9525</xdr:rowOff>
              </from>
              <to>
                <xdr:col>25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254" r:id="rId60" name="CheckBox84"/>
      </mc:Fallback>
    </mc:AlternateContent>
    <mc:AlternateContent xmlns:mc="http://schemas.openxmlformats.org/markup-compatibility/2006">
      <mc:Choice Requires="x14">
        <control shapeId="1253" r:id="rId62" name="CheckBox83">
          <controlPr defaultSize="0" autoLine="0" linkedCell="CP9" r:id="rId63">
            <anchor moveWithCells="1">
              <from>
                <xdr:col>23</xdr:col>
                <xdr:colOff>9525</xdr:colOff>
                <xdr:row>8</xdr:row>
                <xdr:rowOff>9525</xdr:rowOff>
              </from>
              <to>
                <xdr:col>24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253" r:id="rId62" name="CheckBox83"/>
      </mc:Fallback>
    </mc:AlternateContent>
    <mc:AlternateContent xmlns:mc="http://schemas.openxmlformats.org/markup-compatibility/2006">
      <mc:Choice Requires="x14">
        <control shapeId="1252" r:id="rId64" name="CheckBox82">
          <controlPr defaultSize="0" autoLine="0" linkedCell="CO9" r:id="rId65">
            <anchor moveWithCells="1">
              <from>
                <xdr:col>22</xdr:col>
                <xdr:colOff>9525</xdr:colOff>
                <xdr:row>8</xdr:row>
                <xdr:rowOff>9525</xdr:rowOff>
              </from>
              <to>
                <xdr:col>23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252" r:id="rId64" name="CheckBox82"/>
      </mc:Fallback>
    </mc:AlternateContent>
    <mc:AlternateContent xmlns:mc="http://schemas.openxmlformats.org/markup-compatibility/2006">
      <mc:Choice Requires="x14">
        <control shapeId="1251" r:id="rId66" name="CheckBox81">
          <controlPr defaultSize="0" autoLine="0" linkedCell="CN9" r:id="rId67">
            <anchor moveWithCells="1">
              <from>
                <xdr:col>21</xdr:col>
                <xdr:colOff>9525</xdr:colOff>
                <xdr:row>8</xdr:row>
                <xdr:rowOff>9525</xdr:rowOff>
              </from>
              <to>
                <xdr:col>22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251" r:id="rId66" name="CheckBox81"/>
      </mc:Fallback>
    </mc:AlternateContent>
    <mc:AlternateContent xmlns:mc="http://schemas.openxmlformats.org/markup-compatibility/2006">
      <mc:Choice Requires="x14">
        <control shapeId="1250" r:id="rId68" name="CheckBox74">
          <controlPr defaultSize="0" autoLine="0" linkedCell="CQ8" r:id="rId69">
            <anchor moveWithCells="1">
              <from>
                <xdr:col>24</xdr:col>
                <xdr:colOff>9525</xdr:colOff>
                <xdr:row>7</xdr:row>
                <xdr:rowOff>9525</xdr:rowOff>
              </from>
              <to>
                <xdr:col>25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250" r:id="rId68" name="CheckBox74"/>
      </mc:Fallback>
    </mc:AlternateContent>
    <mc:AlternateContent xmlns:mc="http://schemas.openxmlformats.org/markup-compatibility/2006">
      <mc:Choice Requires="x14">
        <control shapeId="1249" r:id="rId70" name="CheckBox73">
          <controlPr defaultSize="0" autoLine="0" linkedCell="CP8" r:id="rId71">
            <anchor moveWithCells="1">
              <from>
                <xdr:col>23</xdr:col>
                <xdr:colOff>9525</xdr:colOff>
                <xdr:row>7</xdr:row>
                <xdr:rowOff>9525</xdr:rowOff>
              </from>
              <to>
                <xdr:col>24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249" r:id="rId70" name="CheckBox73"/>
      </mc:Fallback>
    </mc:AlternateContent>
    <mc:AlternateContent xmlns:mc="http://schemas.openxmlformats.org/markup-compatibility/2006">
      <mc:Choice Requires="x14">
        <control shapeId="1248" r:id="rId72" name="CheckBox72">
          <controlPr defaultSize="0" autoLine="0" linkedCell="CO8" r:id="rId73">
            <anchor moveWithCells="1">
              <from>
                <xdr:col>22</xdr:col>
                <xdr:colOff>9525</xdr:colOff>
                <xdr:row>7</xdr:row>
                <xdr:rowOff>9525</xdr:rowOff>
              </from>
              <to>
                <xdr:col>23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248" r:id="rId72" name="CheckBox72"/>
      </mc:Fallback>
    </mc:AlternateContent>
    <mc:AlternateContent xmlns:mc="http://schemas.openxmlformats.org/markup-compatibility/2006">
      <mc:Choice Requires="x14">
        <control shapeId="1247" r:id="rId74" name="CheckBox71">
          <controlPr defaultSize="0" autoLine="0" linkedCell="CN8" r:id="rId75">
            <anchor moveWithCells="1">
              <from>
                <xdr:col>21</xdr:col>
                <xdr:colOff>9525</xdr:colOff>
                <xdr:row>7</xdr:row>
                <xdr:rowOff>9525</xdr:rowOff>
              </from>
              <to>
                <xdr:col>22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247" r:id="rId74" name="CheckBox71"/>
      </mc:Fallback>
    </mc:AlternateContent>
    <mc:AlternateContent xmlns:mc="http://schemas.openxmlformats.org/markup-compatibility/2006">
      <mc:Choice Requires="x14">
        <control shapeId="1246" r:id="rId76" name="CheckBox64">
          <controlPr defaultSize="0" autoLine="0" linkedCell="CQ7" r:id="rId77">
            <anchor moveWithCells="1">
              <from>
                <xdr:col>24</xdr:col>
                <xdr:colOff>9525</xdr:colOff>
                <xdr:row>6</xdr:row>
                <xdr:rowOff>9525</xdr:rowOff>
              </from>
              <to>
                <xdr:col>25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46" r:id="rId76" name="CheckBox64"/>
      </mc:Fallback>
    </mc:AlternateContent>
    <mc:AlternateContent xmlns:mc="http://schemas.openxmlformats.org/markup-compatibility/2006">
      <mc:Choice Requires="x14">
        <control shapeId="1245" r:id="rId78" name="CheckBox63">
          <controlPr defaultSize="0" autoLine="0" linkedCell="CP7" r:id="rId79">
            <anchor moveWithCells="1">
              <from>
                <xdr:col>23</xdr:col>
                <xdr:colOff>9525</xdr:colOff>
                <xdr:row>6</xdr:row>
                <xdr:rowOff>9525</xdr:rowOff>
              </from>
              <to>
                <xdr:col>24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45" r:id="rId78" name="CheckBox63"/>
      </mc:Fallback>
    </mc:AlternateContent>
    <mc:AlternateContent xmlns:mc="http://schemas.openxmlformats.org/markup-compatibility/2006">
      <mc:Choice Requires="x14">
        <control shapeId="1244" r:id="rId80" name="CheckBox62">
          <controlPr defaultSize="0" autoLine="0" linkedCell="CO7" r:id="rId81">
            <anchor moveWithCells="1">
              <from>
                <xdr:col>22</xdr:col>
                <xdr:colOff>9525</xdr:colOff>
                <xdr:row>6</xdr:row>
                <xdr:rowOff>9525</xdr:rowOff>
              </from>
              <to>
                <xdr:col>23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44" r:id="rId80" name="CheckBox62"/>
      </mc:Fallback>
    </mc:AlternateContent>
    <mc:AlternateContent xmlns:mc="http://schemas.openxmlformats.org/markup-compatibility/2006">
      <mc:Choice Requires="x14">
        <control shapeId="1243" r:id="rId82" name="CheckBox61">
          <controlPr defaultSize="0" autoLine="0" linkedCell="CN7" r:id="rId83">
            <anchor moveWithCells="1">
              <from>
                <xdr:col>21</xdr:col>
                <xdr:colOff>9525</xdr:colOff>
                <xdr:row>6</xdr:row>
                <xdr:rowOff>9525</xdr:rowOff>
              </from>
              <to>
                <xdr:col>22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43" r:id="rId82" name="CheckBox61"/>
      </mc:Fallback>
    </mc:AlternateContent>
    <mc:AlternateContent xmlns:mc="http://schemas.openxmlformats.org/markup-compatibility/2006">
      <mc:Choice Requires="x14">
        <control shapeId="1242" r:id="rId84" name="CheckBox54">
          <controlPr defaultSize="0" autoLine="0" linkedCell="CQ6" r:id="rId85">
            <anchor moveWithCells="1">
              <from>
                <xdr:col>24</xdr:col>
                <xdr:colOff>9525</xdr:colOff>
                <xdr:row>5</xdr:row>
                <xdr:rowOff>9525</xdr:rowOff>
              </from>
              <to>
                <xdr:col>25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242" r:id="rId84" name="CheckBox54"/>
      </mc:Fallback>
    </mc:AlternateContent>
    <mc:AlternateContent xmlns:mc="http://schemas.openxmlformats.org/markup-compatibility/2006">
      <mc:Choice Requires="x14">
        <control shapeId="1241" r:id="rId86" name="CheckBox53">
          <controlPr defaultSize="0" autoLine="0" linkedCell="CP6" r:id="rId87">
            <anchor moveWithCells="1">
              <from>
                <xdr:col>23</xdr:col>
                <xdr:colOff>9525</xdr:colOff>
                <xdr:row>5</xdr:row>
                <xdr:rowOff>9525</xdr:rowOff>
              </from>
              <to>
                <xdr:col>24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241" r:id="rId86" name="CheckBox53"/>
      </mc:Fallback>
    </mc:AlternateContent>
    <mc:AlternateContent xmlns:mc="http://schemas.openxmlformats.org/markup-compatibility/2006">
      <mc:Choice Requires="x14">
        <control shapeId="1240" r:id="rId88" name="CheckBox52">
          <controlPr defaultSize="0" autoLine="0" linkedCell="CO6" r:id="rId89">
            <anchor moveWithCells="1">
              <from>
                <xdr:col>22</xdr:col>
                <xdr:colOff>9525</xdr:colOff>
                <xdr:row>5</xdr:row>
                <xdr:rowOff>9525</xdr:rowOff>
              </from>
              <to>
                <xdr:col>23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240" r:id="rId88" name="CheckBox52"/>
      </mc:Fallback>
    </mc:AlternateContent>
    <mc:AlternateContent xmlns:mc="http://schemas.openxmlformats.org/markup-compatibility/2006">
      <mc:Choice Requires="x14">
        <control shapeId="1239" r:id="rId90" name="CheckBox51">
          <controlPr defaultSize="0" autoLine="0" linkedCell="CN6" r:id="rId91">
            <anchor moveWithCells="1">
              <from>
                <xdr:col>21</xdr:col>
                <xdr:colOff>9525</xdr:colOff>
                <xdr:row>5</xdr:row>
                <xdr:rowOff>9525</xdr:rowOff>
              </from>
              <to>
                <xdr:col>22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239" r:id="rId90" name="CheckBox51"/>
      </mc:Fallback>
    </mc:AlternateContent>
    <mc:AlternateContent xmlns:mc="http://schemas.openxmlformats.org/markup-compatibility/2006">
      <mc:Choice Requires="x14">
        <control shapeId="1238" r:id="rId92" name="CheckBox44">
          <controlPr defaultSize="0" autoLine="0" linkedCell="CQ5" r:id="rId93">
            <anchor moveWithCells="1">
              <from>
                <xdr:col>24</xdr:col>
                <xdr:colOff>9525</xdr:colOff>
                <xdr:row>4</xdr:row>
                <xdr:rowOff>9525</xdr:rowOff>
              </from>
              <to>
                <xdr:col>25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238" r:id="rId92" name="CheckBox44"/>
      </mc:Fallback>
    </mc:AlternateContent>
    <mc:AlternateContent xmlns:mc="http://schemas.openxmlformats.org/markup-compatibility/2006">
      <mc:Choice Requires="x14">
        <control shapeId="1237" r:id="rId94" name="CheckBox43">
          <controlPr defaultSize="0" autoLine="0" linkedCell="CP5" r:id="rId95">
            <anchor moveWithCells="1">
              <from>
                <xdr:col>23</xdr:col>
                <xdr:colOff>9525</xdr:colOff>
                <xdr:row>4</xdr:row>
                <xdr:rowOff>9525</xdr:rowOff>
              </from>
              <to>
                <xdr:col>24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237" r:id="rId94" name="CheckBox43"/>
      </mc:Fallback>
    </mc:AlternateContent>
    <mc:AlternateContent xmlns:mc="http://schemas.openxmlformats.org/markup-compatibility/2006">
      <mc:Choice Requires="x14">
        <control shapeId="1236" r:id="rId96" name="CheckBox42">
          <controlPr defaultSize="0" autoLine="0" linkedCell="CO5" r:id="rId97">
            <anchor moveWithCells="1">
              <from>
                <xdr:col>22</xdr:col>
                <xdr:colOff>9525</xdr:colOff>
                <xdr:row>4</xdr:row>
                <xdr:rowOff>9525</xdr:rowOff>
              </from>
              <to>
                <xdr:col>23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236" r:id="rId96" name="CheckBox42"/>
      </mc:Fallback>
    </mc:AlternateContent>
    <mc:AlternateContent xmlns:mc="http://schemas.openxmlformats.org/markup-compatibility/2006">
      <mc:Choice Requires="x14">
        <control shapeId="1235" r:id="rId98" name="CheckBox41">
          <controlPr defaultSize="0" autoLine="0" linkedCell="CN5" r:id="rId99">
            <anchor moveWithCells="1">
              <from>
                <xdr:col>21</xdr:col>
                <xdr:colOff>9525</xdr:colOff>
                <xdr:row>4</xdr:row>
                <xdr:rowOff>9525</xdr:rowOff>
              </from>
              <to>
                <xdr:col>22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235" r:id="rId98" name="CheckBox41"/>
      </mc:Fallback>
    </mc:AlternateContent>
    <mc:AlternateContent xmlns:mc="http://schemas.openxmlformats.org/markup-compatibility/2006">
      <mc:Choice Requires="x14">
        <control shapeId="1234" r:id="rId100" name="CheckBox34">
          <controlPr defaultSize="0" autoLine="0" linkedCell="CQ4" r:id="rId101">
            <anchor moveWithCells="1">
              <from>
                <xdr:col>24</xdr:col>
                <xdr:colOff>9525</xdr:colOff>
                <xdr:row>3</xdr:row>
                <xdr:rowOff>9525</xdr:rowOff>
              </from>
              <to>
                <xdr:col>25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234" r:id="rId100" name="CheckBox34"/>
      </mc:Fallback>
    </mc:AlternateContent>
    <mc:AlternateContent xmlns:mc="http://schemas.openxmlformats.org/markup-compatibility/2006">
      <mc:Choice Requires="x14">
        <control shapeId="1233" r:id="rId102" name="CheckBox33">
          <controlPr defaultSize="0" autoLine="0" linkedCell="CP4" r:id="rId103">
            <anchor moveWithCells="1">
              <from>
                <xdr:col>23</xdr:col>
                <xdr:colOff>9525</xdr:colOff>
                <xdr:row>3</xdr:row>
                <xdr:rowOff>9525</xdr:rowOff>
              </from>
              <to>
                <xdr:col>24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233" r:id="rId102" name="CheckBox33"/>
      </mc:Fallback>
    </mc:AlternateContent>
    <mc:AlternateContent xmlns:mc="http://schemas.openxmlformats.org/markup-compatibility/2006">
      <mc:Choice Requires="x14">
        <control shapeId="1232" r:id="rId104" name="CheckBox32">
          <controlPr defaultSize="0" autoLine="0" linkedCell="CO4" r:id="rId105">
            <anchor moveWithCells="1">
              <from>
                <xdr:col>22</xdr:col>
                <xdr:colOff>9525</xdr:colOff>
                <xdr:row>3</xdr:row>
                <xdr:rowOff>9525</xdr:rowOff>
              </from>
              <to>
                <xdr:col>23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232" r:id="rId104" name="CheckBox32"/>
      </mc:Fallback>
    </mc:AlternateContent>
    <mc:AlternateContent xmlns:mc="http://schemas.openxmlformats.org/markup-compatibility/2006">
      <mc:Choice Requires="x14">
        <control shapeId="1231" r:id="rId106" name="CheckBox31">
          <controlPr defaultSize="0" autoLine="0" linkedCell="CN4" r:id="rId107">
            <anchor moveWithCells="1">
              <from>
                <xdr:col>21</xdr:col>
                <xdr:colOff>9525</xdr:colOff>
                <xdr:row>3</xdr:row>
                <xdr:rowOff>9525</xdr:rowOff>
              </from>
              <to>
                <xdr:col>22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231" r:id="rId106" name="CheckBox31"/>
      </mc:Fallback>
    </mc:AlternateContent>
    <mc:AlternateContent xmlns:mc="http://schemas.openxmlformats.org/markup-compatibility/2006">
      <mc:Choice Requires="x14">
        <control shapeId="1230" r:id="rId108" name="CheckBox24">
          <controlPr defaultSize="0" autoLine="0" linkedCell="CQ3" r:id="rId109">
            <anchor moveWithCells="1">
              <from>
                <xdr:col>24</xdr:col>
                <xdr:colOff>9525</xdr:colOff>
                <xdr:row>2</xdr:row>
                <xdr:rowOff>9525</xdr:rowOff>
              </from>
              <to>
                <xdr:col>25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30" r:id="rId108" name="CheckBox24"/>
      </mc:Fallback>
    </mc:AlternateContent>
    <mc:AlternateContent xmlns:mc="http://schemas.openxmlformats.org/markup-compatibility/2006">
      <mc:Choice Requires="x14">
        <control shapeId="1229" r:id="rId110" name="CheckBox23">
          <controlPr defaultSize="0" autoLine="0" linkedCell="CP3" r:id="rId111">
            <anchor moveWithCells="1">
              <from>
                <xdr:col>23</xdr:col>
                <xdr:colOff>9525</xdr:colOff>
                <xdr:row>2</xdr:row>
                <xdr:rowOff>9525</xdr:rowOff>
              </from>
              <to>
                <xdr:col>24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29" r:id="rId110" name="CheckBox23"/>
      </mc:Fallback>
    </mc:AlternateContent>
    <mc:AlternateContent xmlns:mc="http://schemas.openxmlformats.org/markup-compatibility/2006">
      <mc:Choice Requires="x14">
        <control shapeId="1228" r:id="rId112" name="CheckBox22">
          <controlPr defaultSize="0" autoLine="0" linkedCell="CO3" r:id="rId113">
            <anchor moveWithCells="1">
              <from>
                <xdr:col>22</xdr:col>
                <xdr:colOff>9525</xdr:colOff>
                <xdr:row>2</xdr:row>
                <xdr:rowOff>9525</xdr:rowOff>
              </from>
              <to>
                <xdr:col>23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28" r:id="rId112" name="CheckBox22"/>
      </mc:Fallback>
    </mc:AlternateContent>
    <mc:AlternateContent xmlns:mc="http://schemas.openxmlformats.org/markup-compatibility/2006">
      <mc:Choice Requires="x14">
        <control shapeId="1227" r:id="rId114" name="CheckBox21">
          <controlPr defaultSize="0" autoLine="0" linkedCell="CN3" r:id="rId115">
            <anchor moveWithCells="1">
              <from>
                <xdr:col>21</xdr:col>
                <xdr:colOff>9525</xdr:colOff>
                <xdr:row>2</xdr:row>
                <xdr:rowOff>9525</xdr:rowOff>
              </from>
              <to>
                <xdr:col>22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27" r:id="rId114" name="CheckBox21"/>
      </mc:Fallback>
    </mc:AlternateContent>
    <mc:AlternateContent xmlns:mc="http://schemas.openxmlformats.org/markup-compatibility/2006">
      <mc:Choice Requires="x14">
        <control shapeId="1226" r:id="rId116" name="CheckBox14">
          <controlPr defaultSize="0" autoLine="0" linkedCell="CQ2" r:id="rId117">
            <anchor moveWithCells="1">
              <from>
                <xdr:col>24</xdr:col>
                <xdr:colOff>9525</xdr:colOff>
                <xdr:row>1</xdr:row>
                <xdr:rowOff>9525</xdr:rowOff>
              </from>
              <to>
                <xdr:col>25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226" r:id="rId116" name="CheckBox14"/>
      </mc:Fallback>
    </mc:AlternateContent>
    <mc:AlternateContent xmlns:mc="http://schemas.openxmlformats.org/markup-compatibility/2006">
      <mc:Choice Requires="x14">
        <control shapeId="1225" r:id="rId118" name="CheckBox13">
          <controlPr defaultSize="0" autoLine="0" linkedCell="CP2" r:id="rId119">
            <anchor moveWithCells="1">
              <from>
                <xdr:col>23</xdr:col>
                <xdr:colOff>9525</xdr:colOff>
                <xdr:row>1</xdr:row>
                <xdr:rowOff>9525</xdr:rowOff>
              </from>
              <to>
                <xdr:col>24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225" r:id="rId118" name="CheckBox13"/>
      </mc:Fallback>
    </mc:AlternateContent>
    <mc:AlternateContent xmlns:mc="http://schemas.openxmlformats.org/markup-compatibility/2006">
      <mc:Choice Requires="x14">
        <control shapeId="1224" r:id="rId120" name="CheckBox12">
          <controlPr defaultSize="0" autoLine="0" linkedCell="CO2" r:id="rId121">
            <anchor moveWithCells="1">
              <from>
                <xdr:col>22</xdr:col>
                <xdr:colOff>9525</xdr:colOff>
                <xdr:row>1</xdr:row>
                <xdr:rowOff>9525</xdr:rowOff>
              </from>
              <to>
                <xdr:col>23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224" r:id="rId120" name="CheckBox12"/>
      </mc:Fallback>
    </mc:AlternateContent>
    <mc:AlternateContent xmlns:mc="http://schemas.openxmlformats.org/markup-compatibility/2006">
      <mc:Choice Requires="x14">
        <control shapeId="1223" r:id="rId122" name="CheckBox11">
          <controlPr defaultSize="0" autoLine="0" linkedCell="CN2" r:id="rId123">
            <anchor moveWithCells="1">
              <from>
                <xdr:col>21</xdr:col>
                <xdr:colOff>9525</xdr:colOff>
                <xdr:row>1</xdr:row>
                <xdr:rowOff>9525</xdr:rowOff>
              </from>
              <to>
                <xdr:col>22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223" r:id="rId122" name="CheckBox1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54D7E-CF4B-4BE1-97EB-020743341CBE}">
  <sheetPr codeName="Sheet5"/>
  <dimension ref="A1:AI43"/>
  <sheetViews>
    <sheetView workbookViewId="0">
      <selection activeCell="B1" sqref="B1:C16"/>
    </sheetView>
  </sheetViews>
  <sheetFormatPr defaultRowHeight="15" x14ac:dyDescent="0.25"/>
  <cols>
    <col min="1" max="1" width="9" customWidth="1"/>
    <col min="2" max="2" width="11" customWidth="1"/>
    <col min="3" max="3" width="13.28515625" customWidth="1"/>
    <col min="4" max="4" width="12.7109375" customWidth="1"/>
    <col min="5" max="5" width="26.28515625" customWidth="1"/>
    <col min="6" max="6" width="10" customWidth="1"/>
    <col min="7" max="7" width="9" customWidth="1"/>
    <col min="8" max="8" width="17.7109375" customWidth="1"/>
  </cols>
  <sheetData>
    <row r="1" spans="1:35" x14ac:dyDescent="0.25">
      <c r="A1" s="36" t="s">
        <v>32</v>
      </c>
      <c r="B1" s="36" t="s">
        <v>54</v>
      </c>
      <c r="C1" s="36" t="s">
        <v>33</v>
      </c>
      <c r="D1" s="36" t="s">
        <v>35</v>
      </c>
      <c r="E1" s="36" t="s">
        <v>36</v>
      </c>
      <c r="F1" s="36" t="s">
        <v>52</v>
      </c>
      <c r="G1" s="36" t="s">
        <v>51</v>
      </c>
      <c r="H1" s="36" t="s">
        <v>34</v>
      </c>
      <c r="J1" s="28"/>
      <c r="K1" s="37" t="s">
        <v>2</v>
      </c>
      <c r="L1" s="37" t="s">
        <v>3</v>
      </c>
      <c r="M1" s="37" t="s">
        <v>4</v>
      </c>
      <c r="N1" s="37" t="s">
        <v>5</v>
      </c>
      <c r="P1" s="28"/>
      <c r="Q1" s="37" t="s">
        <v>38</v>
      </c>
      <c r="R1" s="37" t="s">
        <v>49</v>
      </c>
      <c r="S1" s="37" t="s">
        <v>43</v>
      </c>
      <c r="T1" s="37" t="s">
        <v>50</v>
      </c>
      <c r="V1" s="42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4"/>
    </row>
    <row r="2" spans="1:35" x14ac:dyDescent="0.25">
      <c r="A2" s="35" t="s">
        <v>20</v>
      </c>
      <c r="B2" s="34" t="str">
        <f>IF(A2&lt;&gt;"","A","")</f>
        <v>A</v>
      </c>
      <c r="C2" s="34" t="s">
        <v>37</v>
      </c>
      <c r="D2" s="34" t="s">
        <v>38</v>
      </c>
      <c r="E2" s="34" t="s">
        <v>38</v>
      </c>
      <c r="F2" s="39">
        <v>0.25</v>
      </c>
      <c r="G2" s="39">
        <v>0.75</v>
      </c>
      <c r="H2" s="34">
        <f>IF(A2&lt;&gt;"",0,"")</f>
        <v>0</v>
      </c>
      <c r="J2" s="38" t="str">
        <f>IF($A2&lt;&gt;"",$A2,"")</f>
        <v>Dale</v>
      </c>
      <c r="K2" s="34" t="b">
        <f>IF($C2&lt;&gt;"",IFERROR(SEARCH(K$1,$C2)&gt;0,FALSE),"")</f>
        <v>1</v>
      </c>
      <c r="L2" s="34" t="b">
        <f>IF($C2&lt;&gt;"",IFERROR(SEARCH(L$1,$C2)&gt;0,FALSE),"")</f>
        <v>1</v>
      </c>
      <c r="M2" s="34" t="b">
        <f>IF($C2&lt;&gt;"",IFERROR(SEARCH(M$1,$C2)&gt;0,FALSE),"")</f>
        <v>0</v>
      </c>
      <c r="N2" s="34" t="b">
        <f>IF($C2&lt;&gt;"",IFERROR(SEARCH(N$1,$C2)&gt;0,FALSE),"")</f>
        <v>0</v>
      </c>
      <c r="P2" s="38" t="str">
        <f>IF($A2&lt;&gt;"",$A2,"")</f>
        <v>Dale</v>
      </c>
      <c r="Q2" s="34" t="b">
        <f>IF($E2&lt;&gt;"",IFERROR(SEARCH(Q$1,$E2)&gt;0,FALSE),"")</f>
        <v>1</v>
      </c>
      <c r="R2" s="34" t="b">
        <f>IF($E2&lt;&gt;"",IFERROR(SEARCH(R$1,$E2)&gt;0,FALSE),"")</f>
        <v>0</v>
      </c>
      <c r="S2" s="34" t="b">
        <f>IF($E2&lt;&gt;"",IFERROR(SEARCH(S$1,$E2)&gt;0,FALSE),"")</f>
        <v>0</v>
      </c>
      <c r="T2" s="34" t="b">
        <f>IF($E2&lt;&gt;"",IFERROR(SEARCH(T$1,$E2)&gt;0,FALSE),"")</f>
        <v>0</v>
      </c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</row>
    <row r="3" spans="1:35" x14ac:dyDescent="0.25">
      <c r="A3" s="35" t="s">
        <v>21</v>
      </c>
      <c r="B3" s="34" t="str">
        <f t="shared" ref="B3:B21" si="0">IF(A3&lt;&gt;"","A","")</f>
        <v>A</v>
      </c>
      <c r="C3" s="34" t="s">
        <v>39</v>
      </c>
      <c r="D3" s="34" t="str">
        <f t="shared" ref="D3:D21" si="1">IF(A3&lt;&gt;"","Middle","")</f>
        <v>Middle</v>
      </c>
      <c r="E3" s="34" t="s">
        <v>40</v>
      </c>
      <c r="F3" s="39">
        <v>0.25</v>
      </c>
      <c r="G3" s="39">
        <v>0.75</v>
      </c>
      <c r="H3" s="34">
        <f t="shared" ref="H3:H21" si="2">IF(A3&lt;&gt;"",0,"")</f>
        <v>0</v>
      </c>
      <c r="J3" s="38" t="str">
        <f t="shared" ref="J3:J21" si="3">IF($A3&lt;&gt;"",$A3,"")</f>
        <v>Margaret</v>
      </c>
      <c r="K3" s="34" t="b">
        <f t="shared" ref="K3:N21" si="4">IF($C3&lt;&gt;"",IFERROR(SEARCH(K$1,$C3)&gt;0,FALSE),"")</f>
        <v>1</v>
      </c>
      <c r="L3" s="34" t="b">
        <f t="shared" si="4"/>
        <v>0</v>
      </c>
      <c r="M3" s="34" t="b">
        <f t="shared" si="4"/>
        <v>0</v>
      </c>
      <c r="N3" s="34" t="b">
        <f t="shared" si="4"/>
        <v>1</v>
      </c>
      <c r="P3" s="38" t="str">
        <f t="shared" ref="P3:P21" si="5">IF($A3&lt;&gt;"",$A3,"")</f>
        <v>Margaret</v>
      </c>
      <c r="Q3" s="34" t="b">
        <f t="shared" ref="Q3:T21" si="6">IF($E3&lt;&gt;"",IFERROR(SEARCH(Q$1,$E3)&gt;0,FALSE),"")</f>
        <v>0</v>
      </c>
      <c r="R3" s="34" t="b">
        <f t="shared" si="6"/>
        <v>1</v>
      </c>
      <c r="S3" s="34" t="b">
        <f t="shared" si="6"/>
        <v>1</v>
      </c>
      <c r="T3" s="34" t="b">
        <f t="shared" si="6"/>
        <v>0</v>
      </c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</row>
    <row r="4" spans="1:35" x14ac:dyDescent="0.25">
      <c r="A4" s="35" t="s">
        <v>22</v>
      </c>
      <c r="B4" s="34" t="s">
        <v>3</v>
      </c>
      <c r="C4" s="34" t="s">
        <v>41</v>
      </c>
      <c r="D4" s="34" t="str">
        <f t="shared" si="1"/>
        <v>Middle</v>
      </c>
      <c r="E4" s="34" t="s">
        <v>42</v>
      </c>
      <c r="F4" s="39">
        <v>0.25</v>
      </c>
      <c r="G4" s="39">
        <v>0.75</v>
      </c>
      <c r="H4" s="34">
        <f t="shared" si="2"/>
        <v>0</v>
      </c>
      <c r="J4" s="38" t="str">
        <f t="shared" si="3"/>
        <v>Mason</v>
      </c>
      <c r="K4" s="34" t="b">
        <f t="shared" si="4"/>
        <v>1</v>
      </c>
      <c r="L4" s="34" t="b">
        <f t="shared" si="4"/>
        <v>1</v>
      </c>
      <c r="M4" s="34" t="b">
        <f t="shared" si="4"/>
        <v>1</v>
      </c>
      <c r="N4" s="34" t="b">
        <f t="shared" si="4"/>
        <v>1</v>
      </c>
      <c r="P4" s="38" t="str">
        <f t="shared" si="5"/>
        <v>Mason</v>
      </c>
      <c r="Q4" s="34" t="b">
        <f t="shared" si="6"/>
        <v>1</v>
      </c>
      <c r="R4" s="34" t="b">
        <f t="shared" si="6"/>
        <v>1</v>
      </c>
      <c r="S4" s="34" t="b">
        <f t="shared" si="6"/>
        <v>1</v>
      </c>
      <c r="T4" s="34" t="b">
        <f t="shared" si="6"/>
        <v>1</v>
      </c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</row>
    <row r="5" spans="1:35" x14ac:dyDescent="0.25">
      <c r="A5" s="35" t="s">
        <v>23</v>
      </c>
      <c r="B5" s="34" t="s">
        <v>3</v>
      </c>
      <c r="C5" s="34" t="s">
        <v>3</v>
      </c>
      <c r="D5" s="34" t="s">
        <v>43</v>
      </c>
      <c r="E5" s="34" t="s">
        <v>44</v>
      </c>
      <c r="F5" s="39">
        <v>0.25</v>
      </c>
      <c r="G5" s="39">
        <v>0.75</v>
      </c>
      <c r="H5" s="34">
        <f t="shared" si="2"/>
        <v>0</v>
      </c>
      <c r="J5" s="38" t="str">
        <f t="shared" si="3"/>
        <v>Mike</v>
      </c>
      <c r="K5" s="34" t="b">
        <f t="shared" si="4"/>
        <v>0</v>
      </c>
      <c r="L5" s="34" t="b">
        <f t="shared" si="4"/>
        <v>1</v>
      </c>
      <c r="M5" s="34" t="b">
        <f t="shared" si="4"/>
        <v>0</v>
      </c>
      <c r="N5" s="34" t="b">
        <f t="shared" si="4"/>
        <v>0</v>
      </c>
      <c r="P5" s="38" t="str">
        <f t="shared" si="5"/>
        <v>Mike</v>
      </c>
      <c r="Q5" s="34" t="b">
        <f t="shared" si="6"/>
        <v>0</v>
      </c>
      <c r="R5" s="34" t="b">
        <f t="shared" si="6"/>
        <v>1</v>
      </c>
      <c r="S5" s="34" t="b">
        <f t="shared" si="6"/>
        <v>1</v>
      </c>
      <c r="T5" s="34" t="b">
        <f t="shared" si="6"/>
        <v>1</v>
      </c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</row>
    <row r="6" spans="1:35" x14ac:dyDescent="0.25">
      <c r="A6" s="35" t="s">
        <v>24</v>
      </c>
      <c r="B6" s="34" t="s">
        <v>4</v>
      </c>
      <c r="C6" s="34" t="s">
        <v>45</v>
      </c>
      <c r="D6" s="34" t="str">
        <f t="shared" si="1"/>
        <v>Middle</v>
      </c>
      <c r="E6" s="34" t="s">
        <v>46</v>
      </c>
      <c r="F6" s="39">
        <v>0.25</v>
      </c>
      <c r="G6" s="39">
        <v>0.75</v>
      </c>
      <c r="H6" s="34">
        <f t="shared" si="2"/>
        <v>0</v>
      </c>
      <c r="J6" s="38" t="str">
        <f t="shared" si="3"/>
        <v>Daniel</v>
      </c>
      <c r="K6" s="34" t="b">
        <f t="shared" si="4"/>
        <v>0</v>
      </c>
      <c r="L6" s="34" t="b">
        <f t="shared" si="4"/>
        <v>1</v>
      </c>
      <c r="M6" s="34" t="b">
        <f t="shared" si="4"/>
        <v>1</v>
      </c>
      <c r="N6" s="34" t="b">
        <f t="shared" si="4"/>
        <v>0</v>
      </c>
      <c r="P6" s="38" t="str">
        <f t="shared" si="5"/>
        <v>Daniel</v>
      </c>
      <c r="Q6" s="34" t="b">
        <f t="shared" si="6"/>
        <v>1</v>
      </c>
      <c r="R6" s="34" t="b">
        <f t="shared" si="6"/>
        <v>1</v>
      </c>
      <c r="S6" s="34" t="b">
        <f t="shared" si="6"/>
        <v>0</v>
      </c>
      <c r="T6" s="34" t="b">
        <f t="shared" si="6"/>
        <v>0</v>
      </c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</row>
    <row r="7" spans="1:35" x14ac:dyDescent="0.25">
      <c r="A7" s="35" t="s">
        <v>25</v>
      </c>
      <c r="B7" s="34" t="s">
        <v>4</v>
      </c>
      <c r="C7" s="34" t="s">
        <v>4</v>
      </c>
      <c r="D7" s="34" t="s">
        <v>43</v>
      </c>
      <c r="E7" s="34" t="s">
        <v>47</v>
      </c>
      <c r="F7" s="39">
        <v>0.25</v>
      </c>
      <c r="G7" s="39">
        <v>0.75</v>
      </c>
      <c r="H7" s="34">
        <f t="shared" si="2"/>
        <v>0</v>
      </c>
      <c r="J7" s="38" t="str">
        <f t="shared" si="3"/>
        <v>Noel</v>
      </c>
      <c r="K7" s="34" t="b">
        <f t="shared" si="4"/>
        <v>0</v>
      </c>
      <c r="L7" s="34" t="b">
        <f t="shared" si="4"/>
        <v>0</v>
      </c>
      <c r="M7" s="34" t="b">
        <f t="shared" si="4"/>
        <v>1</v>
      </c>
      <c r="N7" s="34" t="b">
        <f t="shared" si="4"/>
        <v>0</v>
      </c>
      <c r="P7" s="38" t="str">
        <f t="shared" si="5"/>
        <v>Noel</v>
      </c>
      <c r="Q7" s="34" t="b">
        <f t="shared" si="6"/>
        <v>0</v>
      </c>
      <c r="R7" s="34" t="b">
        <f t="shared" si="6"/>
        <v>0</v>
      </c>
      <c r="S7" s="34" t="b">
        <f t="shared" si="6"/>
        <v>1</v>
      </c>
      <c r="T7" s="34" t="b">
        <f t="shared" si="6"/>
        <v>1</v>
      </c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</row>
    <row r="8" spans="1:35" x14ac:dyDescent="0.25">
      <c r="A8" s="35" t="s">
        <v>26</v>
      </c>
      <c r="B8" s="34" t="s">
        <v>4</v>
      </c>
      <c r="C8" s="34" t="s">
        <v>41</v>
      </c>
      <c r="D8" s="34" t="s">
        <v>43</v>
      </c>
      <c r="E8" s="34" t="s">
        <v>43</v>
      </c>
      <c r="F8" s="39">
        <v>0.25</v>
      </c>
      <c r="G8" s="39">
        <v>0.75</v>
      </c>
      <c r="H8" s="34">
        <f t="shared" si="2"/>
        <v>0</v>
      </c>
      <c r="J8" s="38" t="str">
        <f t="shared" si="3"/>
        <v>Cheryl</v>
      </c>
      <c r="K8" s="34" t="b">
        <f t="shared" si="4"/>
        <v>1</v>
      </c>
      <c r="L8" s="34" t="b">
        <f t="shared" si="4"/>
        <v>1</v>
      </c>
      <c r="M8" s="34" t="b">
        <f t="shared" si="4"/>
        <v>1</v>
      </c>
      <c r="N8" s="34" t="b">
        <f t="shared" si="4"/>
        <v>1</v>
      </c>
      <c r="P8" s="38" t="str">
        <f t="shared" si="5"/>
        <v>Cheryl</v>
      </c>
      <c r="Q8" s="34" t="b">
        <f t="shared" si="6"/>
        <v>0</v>
      </c>
      <c r="R8" s="34" t="b">
        <f t="shared" si="6"/>
        <v>0</v>
      </c>
      <c r="S8" s="34" t="b">
        <f t="shared" si="6"/>
        <v>1</v>
      </c>
      <c r="T8" s="34" t="b">
        <f t="shared" si="6"/>
        <v>0</v>
      </c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</row>
    <row r="9" spans="1:35" x14ac:dyDescent="0.25">
      <c r="A9" s="35" t="s">
        <v>27</v>
      </c>
      <c r="B9" s="34" t="s">
        <v>5</v>
      </c>
      <c r="C9" s="34" t="s">
        <v>39</v>
      </c>
      <c r="D9" s="34" t="str">
        <f t="shared" si="1"/>
        <v>Middle</v>
      </c>
      <c r="E9" s="34" t="str">
        <f t="shared" ref="E9:E21" si="7">IF(A9&lt;&gt;"","Middle","")</f>
        <v>Middle</v>
      </c>
      <c r="F9" s="39">
        <v>0.25</v>
      </c>
      <c r="G9" s="39">
        <v>0.75</v>
      </c>
      <c r="H9" s="34">
        <f t="shared" si="2"/>
        <v>0</v>
      </c>
      <c r="J9" s="38" t="str">
        <f t="shared" si="3"/>
        <v>Ali</v>
      </c>
      <c r="K9" s="34" t="b">
        <f t="shared" si="4"/>
        <v>1</v>
      </c>
      <c r="L9" s="34" t="b">
        <f t="shared" si="4"/>
        <v>0</v>
      </c>
      <c r="M9" s="34" t="b">
        <f t="shared" si="4"/>
        <v>0</v>
      </c>
      <c r="N9" s="34" t="b">
        <f t="shared" si="4"/>
        <v>1</v>
      </c>
      <c r="P9" s="38" t="str">
        <f t="shared" si="5"/>
        <v>Ali</v>
      </c>
      <c r="Q9" s="34" t="b">
        <f t="shared" si="6"/>
        <v>0</v>
      </c>
      <c r="R9" s="34" t="b">
        <f t="shared" si="6"/>
        <v>1</v>
      </c>
      <c r="S9" s="34" t="b">
        <f t="shared" si="6"/>
        <v>0</v>
      </c>
      <c r="T9" s="34" t="b">
        <f t="shared" si="6"/>
        <v>0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</row>
    <row r="10" spans="1:35" x14ac:dyDescent="0.25">
      <c r="A10" s="35" t="s">
        <v>48</v>
      </c>
      <c r="B10" s="34" t="s">
        <v>3</v>
      </c>
      <c r="C10" s="34" t="s">
        <v>53</v>
      </c>
      <c r="D10" s="34" t="str">
        <f t="shared" si="1"/>
        <v>Middle</v>
      </c>
      <c r="E10" s="34" t="str">
        <f t="shared" si="7"/>
        <v>Middle</v>
      </c>
      <c r="F10" s="39">
        <v>0.29166666666666669</v>
      </c>
      <c r="G10" s="39">
        <v>0.54166666666666663</v>
      </c>
      <c r="H10" s="34">
        <f t="shared" si="2"/>
        <v>0</v>
      </c>
      <c r="J10" s="38" t="str">
        <f t="shared" si="3"/>
        <v>Todd</v>
      </c>
      <c r="K10" s="34" t="b">
        <f t="shared" si="4"/>
        <v>1</v>
      </c>
      <c r="L10" s="34" t="b">
        <f t="shared" si="4"/>
        <v>1</v>
      </c>
      <c r="M10" s="34" t="b">
        <f t="shared" si="4"/>
        <v>1</v>
      </c>
      <c r="N10" s="34" t="b">
        <f t="shared" si="4"/>
        <v>0</v>
      </c>
      <c r="P10" s="38" t="str">
        <f t="shared" si="5"/>
        <v>Todd</v>
      </c>
      <c r="Q10" s="34" t="b">
        <f t="shared" si="6"/>
        <v>0</v>
      </c>
      <c r="R10" s="34" t="b">
        <f t="shared" si="6"/>
        <v>1</v>
      </c>
      <c r="S10" s="34" t="b">
        <f t="shared" si="6"/>
        <v>0</v>
      </c>
      <c r="T10" s="34" t="b">
        <f t="shared" si="6"/>
        <v>0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</row>
    <row r="11" spans="1:35" x14ac:dyDescent="0.25">
      <c r="A11" s="35"/>
      <c r="B11" s="34" t="str">
        <f t="shared" si="0"/>
        <v/>
      </c>
      <c r="C11" s="34" t="str">
        <f t="shared" ref="C11:C21" si="8">IF(A11&lt;&gt;"","A","")</f>
        <v/>
      </c>
      <c r="D11" s="34" t="str">
        <f t="shared" si="1"/>
        <v/>
      </c>
      <c r="E11" s="34" t="str">
        <f t="shared" si="7"/>
        <v/>
      </c>
      <c r="F11" s="39" t="str">
        <f>IF(A11&lt;&gt;"",TIMEVALUE("6:00 AM"),"")</f>
        <v/>
      </c>
      <c r="G11" s="39" t="str">
        <f>IF(A11&lt;&gt;"",TIMEVALUE("6:00 PM"),"")</f>
        <v/>
      </c>
      <c r="H11" s="34" t="str">
        <f t="shared" si="2"/>
        <v/>
      </c>
      <c r="J11" s="38" t="str">
        <f t="shared" si="3"/>
        <v/>
      </c>
      <c r="K11" s="34" t="str">
        <f t="shared" si="4"/>
        <v/>
      </c>
      <c r="L11" s="34" t="str">
        <f t="shared" si="4"/>
        <v/>
      </c>
      <c r="M11" s="34" t="str">
        <f t="shared" si="4"/>
        <v/>
      </c>
      <c r="N11" s="34" t="str">
        <f t="shared" si="4"/>
        <v/>
      </c>
      <c r="P11" s="38" t="str">
        <f t="shared" si="5"/>
        <v/>
      </c>
      <c r="Q11" s="34" t="str">
        <f t="shared" si="6"/>
        <v/>
      </c>
      <c r="R11" s="34" t="str">
        <f t="shared" si="6"/>
        <v/>
      </c>
      <c r="S11" s="34" t="str">
        <f t="shared" si="6"/>
        <v/>
      </c>
      <c r="T11" s="34" t="str">
        <f t="shared" si="6"/>
        <v/>
      </c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</row>
    <row r="12" spans="1:35" x14ac:dyDescent="0.25">
      <c r="A12" s="35"/>
      <c r="B12" s="34" t="str">
        <f t="shared" si="0"/>
        <v/>
      </c>
      <c r="C12" s="34" t="str">
        <f t="shared" si="8"/>
        <v/>
      </c>
      <c r="D12" s="34" t="str">
        <f t="shared" si="1"/>
        <v/>
      </c>
      <c r="E12" s="34" t="str">
        <f t="shared" si="7"/>
        <v/>
      </c>
      <c r="F12" s="39" t="str">
        <f t="shared" ref="F12:F21" si="9">IF(A12&lt;&gt;"",TIMEVALUE("6:00 AM"),"")</f>
        <v/>
      </c>
      <c r="G12" s="39" t="str">
        <f t="shared" ref="G12:G21" si="10">IF(A12&lt;&gt;"",TIMEVALUE("6:00 PM"),"")</f>
        <v/>
      </c>
      <c r="H12" s="34" t="str">
        <f t="shared" si="2"/>
        <v/>
      </c>
      <c r="J12" s="38" t="str">
        <f t="shared" si="3"/>
        <v/>
      </c>
      <c r="K12" s="34" t="str">
        <f t="shared" si="4"/>
        <v/>
      </c>
      <c r="L12" s="34" t="str">
        <f t="shared" si="4"/>
        <v/>
      </c>
      <c r="M12" s="34" t="str">
        <f t="shared" si="4"/>
        <v/>
      </c>
      <c r="N12" s="34" t="str">
        <f t="shared" si="4"/>
        <v/>
      </c>
      <c r="P12" s="38" t="str">
        <f t="shared" si="5"/>
        <v/>
      </c>
      <c r="Q12" s="34" t="str">
        <f t="shared" si="6"/>
        <v/>
      </c>
      <c r="R12" s="34" t="str">
        <f t="shared" si="6"/>
        <v/>
      </c>
      <c r="S12" s="34" t="str">
        <f t="shared" si="6"/>
        <v/>
      </c>
      <c r="T12" s="34" t="str">
        <f t="shared" si="6"/>
        <v/>
      </c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</row>
    <row r="13" spans="1:35" x14ac:dyDescent="0.25">
      <c r="A13" s="35"/>
      <c r="B13" s="34" t="str">
        <f t="shared" si="0"/>
        <v/>
      </c>
      <c r="C13" s="34" t="str">
        <f t="shared" si="8"/>
        <v/>
      </c>
      <c r="D13" s="34" t="str">
        <f t="shared" si="1"/>
        <v/>
      </c>
      <c r="E13" s="34" t="str">
        <f t="shared" si="7"/>
        <v/>
      </c>
      <c r="F13" s="39" t="str">
        <f t="shared" si="9"/>
        <v/>
      </c>
      <c r="G13" s="39" t="str">
        <f t="shared" si="10"/>
        <v/>
      </c>
      <c r="H13" s="34" t="str">
        <f t="shared" si="2"/>
        <v/>
      </c>
      <c r="J13" s="38" t="str">
        <f t="shared" si="3"/>
        <v/>
      </c>
      <c r="K13" s="34" t="str">
        <f t="shared" si="4"/>
        <v/>
      </c>
      <c r="L13" s="34" t="str">
        <f t="shared" si="4"/>
        <v/>
      </c>
      <c r="M13" s="34" t="str">
        <f t="shared" si="4"/>
        <v/>
      </c>
      <c r="N13" s="34" t="str">
        <f t="shared" si="4"/>
        <v/>
      </c>
      <c r="P13" s="38" t="str">
        <f t="shared" si="5"/>
        <v/>
      </c>
      <c r="Q13" s="34" t="str">
        <f t="shared" si="6"/>
        <v/>
      </c>
      <c r="R13" s="34" t="str">
        <f t="shared" si="6"/>
        <v/>
      </c>
      <c r="S13" s="34" t="str">
        <f t="shared" si="6"/>
        <v/>
      </c>
      <c r="T13" s="34" t="str">
        <f t="shared" si="6"/>
        <v/>
      </c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</row>
    <row r="14" spans="1:35" x14ac:dyDescent="0.25">
      <c r="A14" s="35"/>
      <c r="B14" s="34" t="str">
        <f t="shared" si="0"/>
        <v/>
      </c>
      <c r="C14" s="34" t="str">
        <f t="shared" si="8"/>
        <v/>
      </c>
      <c r="D14" s="34" t="str">
        <f t="shared" si="1"/>
        <v/>
      </c>
      <c r="E14" s="34" t="str">
        <f t="shared" si="7"/>
        <v/>
      </c>
      <c r="F14" s="39" t="str">
        <f t="shared" si="9"/>
        <v/>
      </c>
      <c r="G14" s="39" t="str">
        <f t="shared" si="10"/>
        <v/>
      </c>
      <c r="H14" s="34" t="str">
        <f t="shared" si="2"/>
        <v/>
      </c>
      <c r="J14" s="38" t="str">
        <f t="shared" si="3"/>
        <v/>
      </c>
      <c r="K14" s="34" t="str">
        <f t="shared" si="4"/>
        <v/>
      </c>
      <c r="L14" s="34" t="str">
        <f t="shared" si="4"/>
        <v/>
      </c>
      <c r="M14" s="34" t="str">
        <f t="shared" si="4"/>
        <v/>
      </c>
      <c r="N14" s="34" t="str">
        <f t="shared" si="4"/>
        <v/>
      </c>
      <c r="P14" s="38" t="str">
        <f t="shared" si="5"/>
        <v/>
      </c>
      <c r="Q14" s="34" t="str">
        <f t="shared" si="6"/>
        <v/>
      </c>
      <c r="R14" s="34" t="str">
        <f t="shared" si="6"/>
        <v/>
      </c>
      <c r="S14" s="34" t="str">
        <f t="shared" si="6"/>
        <v/>
      </c>
      <c r="T14" s="34" t="str">
        <f t="shared" si="6"/>
        <v/>
      </c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</row>
    <row r="15" spans="1:35" x14ac:dyDescent="0.25">
      <c r="A15" s="35"/>
      <c r="B15" s="34" t="str">
        <f t="shared" si="0"/>
        <v/>
      </c>
      <c r="C15" s="34" t="str">
        <f t="shared" si="8"/>
        <v/>
      </c>
      <c r="D15" s="34" t="str">
        <f t="shared" si="1"/>
        <v/>
      </c>
      <c r="E15" s="34" t="str">
        <f t="shared" si="7"/>
        <v/>
      </c>
      <c r="F15" s="39" t="str">
        <f t="shared" si="9"/>
        <v/>
      </c>
      <c r="G15" s="39" t="str">
        <f t="shared" si="10"/>
        <v/>
      </c>
      <c r="H15" s="34" t="str">
        <f t="shared" si="2"/>
        <v/>
      </c>
      <c r="J15" s="38" t="str">
        <f t="shared" si="3"/>
        <v/>
      </c>
      <c r="K15" s="34" t="str">
        <f t="shared" si="4"/>
        <v/>
      </c>
      <c r="L15" s="34" t="str">
        <f t="shared" si="4"/>
        <v/>
      </c>
      <c r="M15" s="34" t="str">
        <f t="shared" si="4"/>
        <v/>
      </c>
      <c r="N15" s="34" t="str">
        <f t="shared" si="4"/>
        <v/>
      </c>
      <c r="P15" s="38" t="str">
        <f t="shared" si="5"/>
        <v/>
      </c>
      <c r="Q15" s="34" t="str">
        <f t="shared" si="6"/>
        <v/>
      </c>
      <c r="R15" s="34" t="str">
        <f t="shared" si="6"/>
        <v/>
      </c>
      <c r="S15" s="34" t="str">
        <f t="shared" si="6"/>
        <v/>
      </c>
      <c r="T15" s="34" t="str">
        <f t="shared" si="6"/>
        <v/>
      </c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</row>
    <row r="16" spans="1:35" x14ac:dyDescent="0.25">
      <c r="A16" s="35"/>
      <c r="B16" s="34" t="str">
        <f t="shared" si="0"/>
        <v/>
      </c>
      <c r="C16" s="34" t="str">
        <f t="shared" si="8"/>
        <v/>
      </c>
      <c r="D16" s="34" t="str">
        <f t="shared" si="1"/>
        <v/>
      </c>
      <c r="E16" s="34" t="str">
        <f t="shared" si="7"/>
        <v/>
      </c>
      <c r="F16" s="39" t="str">
        <f t="shared" si="9"/>
        <v/>
      </c>
      <c r="G16" s="39" t="str">
        <f t="shared" si="10"/>
        <v/>
      </c>
      <c r="H16" s="34" t="str">
        <f t="shared" si="2"/>
        <v/>
      </c>
      <c r="J16" s="38" t="str">
        <f t="shared" si="3"/>
        <v/>
      </c>
      <c r="K16" s="34" t="str">
        <f t="shared" si="4"/>
        <v/>
      </c>
      <c r="L16" s="34" t="str">
        <f t="shared" si="4"/>
        <v/>
      </c>
      <c r="M16" s="34" t="str">
        <f t="shared" si="4"/>
        <v/>
      </c>
      <c r="N16" s="34" t="str">
        <f t="shared" si="4"/>
        <v/>
      </c>
      <c r="P16" s="38" t="str">
        <f t="shared" si="5"/>
        <v/>
      </c>
      <c r="Q16" s="34" t="str">
        <f t="shared" si="6"/>
        <v/>
      </c>
      <c r="R16" s="34" t="str">
        <f t="shared" si="6"/>
        <v/>
      </c>
      <c r="S16" s="34" t="str">
        <f t="shared" si="6"/>
        <v/>
      </c>
      <c r="T16" s="34" t="str">
        <f t="shared" si="6"/>
        <v/>
      </c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</row>
    <row r="17" spans="1:34" x14ac:dyDescent="0.25">
      <c r="A17" s="35"/>
      <c r="B17" s="34" t="str">
        <f t="shared" si="0"/>
        <v/>
      </c>
      <c r="C17" s="34" t="str">
        <f t="shared" si="8"/>
        <v/>
      </c>
      <c r="D17" s="34" t="str">
        <f t="shared" si="1"/>
        <v/>
      </c>
      <c r="E17" s="34" t="str">
        <f t="shared" si="7"/>
        <v/>
      </c>
      <c r="F17" s="39" t="str">
        <f t="shared" si="9"/>
        <v/>
      </c>
      <c r="G17" s="39" t="str">
        <f t="shared" si="10"/>
        <v/>
      </c>
      <c r="H17" s="34" t="str">
        <f t="shared" si="2"/>
        <v/>
      </c>
      <c r="J17" s="38" t="str">
        <f t="shared" si="3"/>
        <v/>
      </c>
      <c r="K17" s="34" t="str">
        <f t="shared" si="4"/>
        <v/>
      </c>
      <c r="L17" s="34" t="str">
        <f t="shared" si="4"/>
        <v/>
      </c>
      <c r="M17" s="34" t="str">
        <f t="shared" si="4"/>
        <v/>
      </c>
      <c r="N17" s="34" t="str">
        <f t="shared" si="4"/>
        <v/>
      </c>
      <c r="P17" s="38" t="str">
        <f t="shared" si="5"/>
        <v/>
      </c>
      <c r="Q17" s="34" t="str">
        <f t="shared" si="6"/>
        <v/>
      </c>
      <c r="R17" s="34" t="str">
        <f t="shared" si="6"/>
        <v/>
      </c>
      <c r="S17" s="34" t="str">
        <f t="shared" si="6"/>
        <v/>
      </c>
      <c r="T17" s="34" t="str">
        <f t="shared" si="6"/>
        <v/>
      </c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</row>
    <row r="18" spans="1:34" x14ac:dyDescent="0.25">
      <c r="A18" s="35"/>
      <c r="B18" s="34" t="str">
        <f t="shared" si="0"/>
        <v/>
      </c>
      <c r="C18" s="34" t="str">
        <f t="shared" si="8"/>
        <v/>
      </c>
      <c r="D18" s="34" t="str">
        <f t="shared" si="1"/>
        <v/>
      </c>
      <c r="E18" s="34" t="str">
        <f t="shared" si="7"/>
        <v/>
      </c>
      <c r="F18" s="39" t="str">
        <f t="shared" si="9"/>
        <v/>
      </c>
      <c r="G18" s="39" t="str">
        <f t="shared" si="10"/>
        <v/>
      </c>
      <c r="H18" s="34" t="str">
        <f t="shared" si="2"/>
        <v/>
      </c>
      <c r="J18" s="38" t="str">
        <f t="shared" si="3"/>
        <v/>
      </c>
      <c r="K18" s="34" t="str">
        <f t="shared" si="4"/>
        <v/>
      </c>
      <c r="L18" s="34" t="str">
        <f t="shared" si="4"/>
        <v/>
      </c>
      <c r="M18" s="34" t="str">
        <f t="shared" si="4"/>
        <v/>
      </c>
      <c r="N18" s="34" t="str">
        <f t="shared" si="4"/>
        <v/>
      </c>
      <c r="P18" s="38" t="str">
        <f t="shared" si="5"/>
        <v/>
      </c>
      <c r="Q18" s="34" t="str">
        <f t="shared" si="6"/>
        <v/>
      </c>
      <c r="R18" s="34" t="str">
        <f t="shared" si="6"/>
        <v/>
      </c>
      <c r="S18" s="34" t="str">
        <f t="shared" si="6"/>
        <v/>
      </c>
      <c r="T18" s="34" t="str">
        <f t="shared" si="6"/>
        <v/>
      </c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</row>
    <row r="19" spans="1:34" x14ac:dyDescent="0.25">
      <c r="A19" s="35"/>
      <c r="B19" s="34" t="str">
        <f t="shared" si="0"/>
        <v/>
      </c>
      <c r="C19" s="34" t="str">
        <f t="shared" si="8"/>
        <v/>
      </c>
      <c r="D19" s="34" t="str">
        <f t="shared" si="1"/>
        <v/>
      </c>
      <c r="E19" s="34" t="str">
        <f t="shared" si="7"/>
        <v/>
      </c>
      <c r="F19" s="39" t="str">
        <f t="shared" si="9"/>
        <v/>
      </c>
      <c r="G19" s="39" t="str">
        <f t="shared" si="10"/>
        <v/>
      </c>
      <c r="H19" s="34" t="str">
        <f t="shared" si="2"/>
        <v/>
      </c>
      <c r="J19" s="38" t="str">
        <f t="shared" si="3"/>
        <v/>
      </c>
      <c r="K19" s="34" t="str">
        <f t="shared" si="4"/>
        <v/>
      </c>
      <c r="L19" s="34" t="str">
        <f t="shared" si="4"/>
        <v/>
      </c>
      <c r="M19" s="34" t="str">
        <f t="shared" si="4"/>
        <v/>
      </c>
      <c r="N19" s="34" t="str">
        <f t="shared" si="4"/>
        <v/>
      </c>
      <c r="P19" s="38" t="str">
        <f t="shared" si="5"/>
        <v/>
      </c>
      <c r="Q19" s="34" t="str">
        <f t="shared" si="6"/>
        <v/>
      </c>
      <c r="R19" s="34" t="str">
        <f t="shared" si="6"/>
        <v/>
      </c>
      <c r="S19" s="34" t="str">
        <f t="shared" si="6"/>
        <v/>
      </c>
      <c r="T19" s="34" t="str">
        <f t="shared" si="6"/>
        <v/>
      </c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</row>
    <row r="20" spans="1:34" x14ac:dyDescent="0.25">
      <c r="A20" s="35"/>
      <c r="B20" s="34" t="str">
        <f t="shared" si="0"/>
        <v/>
      </c>
      <c r="C20" s="34" t="str">
        <f t="shared" si="8"/>
        <v/>
      </c>
      <c r="D20" s="34" t="str">
        <f t="shared" si="1"/>
        <v/>
      </c>
      <c r="E20" s="34" t="str">
        <f t="shared" si="7"/>
        <v/>
      </c>
      <c r="F20" s="39" t="str">
        <f t="shared" si="9"/>
        <v/>
      </c>
      <c r="G20" s="39" t="str">
        <f t="shared" si="10"/>
        <v/>
      </c>
      <c r="H20" s="34" t="str">
        <f t="shared" si="2"/>
        <v/>
      </c>
      <c r="J20" s="38" t="str">
        <f t="shared" si="3"/>
        <v/>
      </c>
      <c r="K20" s="34" t="str">
        <f t="shared" si="4"/>
        <v/>
      </c>
      <c r="L20" s="34" t="str">
        <f t="shared" si="4"/>
        <v/>
      </c>
      <c r="M20" s="34" t="str">
        <f t="shared" si="4"/>
        <v/>
      </c>
      <c r="N20" s="34" t="str">
        <f t="shared" si="4"/>
        <v/>
      </c>
      <c r="P20" s="38" t="str">
        <f t="shared" si="5"/>
        <v/>
      </c>
      <c r="Q20" s="34" t="str">
        <f t="shared" si="6"/>
        <v/>
      </c>
      <c r="R20" s="34" t="str">
        <f t="shared" si="6"/>
        <v/>
      </c>
      <c r="S20" s="34" t="str">
        <f t="shared" si="6"/>
        <v/>
      </c>
      <c r="T20" s="34" t="str">
        <f t="shared" si="6"/>
        <v/>
      </c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</row>
    <row r="21" spans="1:34" x14ac:dyDescent="0.25">
      <c r="A21" s="35"/>
      <c r="B21" s="34" t="str">
        <f t="shared" si="0"/>
        <v/>
      </c>
      <c r="C21" s="34" t="str">
        <f t="shared" si="8"/>
        <v/>
      </c>
      <c r="D21" s="34" t="str">
        <f t="shared" si="1"/>
        <v/>
      </c>
      <c r="E21" s="34" t="str">
        <f t="shared" si="7"/>
        <v/>
      </c>
      <c r="F21" s="39" t="str">
        <f t="shared" si="9"/>
        <v/>
      </c>
      <c r="G21" s="39" t="str">
        <f t="shared" si="10"/>
        <v/>
      </c>
      <c r="H21" s="34" t="str">
        <f t="shared" si="2"/>
        <v/>
      </c>
      <c r="J21" s="38" t="str">
        <f t="shared" si="3"/>
        <v/>
      </c>
      <c r="K21" s="34" t="str">
        <f t="shared" si="4"/>
        <v/>
      </c>
      <c r="L21" s="34" t="str">
        <f t="shared" si="4"/>
        <v/>
      </c>
      <c r="M21" s="34" t="str">
        <f t="shared" si="4"/>
        <v/>
      </c>
      <c r="N21" s="34" t="str">
        <f t="shared" si="4"/>
        <v/>
      </c>
      <c r="P21" s="38" t="str">
        <f t="shared" si="5"/>
        <v/>
      </c>
      <c r="Q21" s="34" t="str">
        <f t="shared" si="6"/>
        <v/>
      </c>
      <c r="R21" s="34" t="str">
        <f t="shared" si="6"/>
        <v/>
      </c>
      <c r="S21" s="34" t="str">
        <f t="shared" si="6"/>
        <v/>
      </c>
      <c r="T21" s="34" t="str">
        <f t="shared" si="6"/>
        <v/>
      </c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</row>
    <row r="23" spans="1:34" x14ac:dyDescent="0.25">
      <c r="A23" s="41">
        <f>INDEX(Calc2!$G$2:$G$13,COUNTIF(Calc2!$G$2:$G$13,"&lt;"&amp;Data!$G2))</f>
        <v>0.70833333333333337</v>
      </c>
      <c r="J23" s="28"/>
      <c r="K23" s="40">
        <v>0.25</v>
      </c>
      <c r="L23" s="40">
        <v>0.29166666666666669</v>
      </c>
      <c r="M23" s="40">
        <v>0.33333333333333331</v>
      </c>
      <c r="N23" s="40">
        <v>0.375</v>
      </c>
      <c r="O23" s="40">
        <v>0.41666666666666669</v>
      </c>
      <c r="P23" s="40">
        <v>0.45833333333333331</v>
      </c>
      <c r="Q23" s="40">
        <v>0.5</v>
      </c>
      <c r="R23" s="40">
        <v>0.54166666666666663</v>
      </c>
      <c r="S23" s="40">
        <v>0.58333333333333337</v>
      </c>
      <c r="T23" s="40">
        <v>0.625</v>
      </c>
      <c r="U23" s="40">
        <v>0.66666666666666663</v>
      </c>
      <c r="V23" s="40">
        <v>0.70833333333333337</v>
      </c>
    </row>
    <row r="24" spans="1:34" x14ac:dyDescent="0.25">
      <c r="A24" s="41">
        <f>INDEX(Calc2!$H$2:$H$13,COUNTIF(Calc2!$H$2:$H$13,"&gt;"&amp;Data!$F2))</f>
        <v>0.29166666666666669</v>
      </c>
      <c r="B24" s="60"/>
      <c r="C24" s="41"/>
      <c r="J24" s="38" t="str">
        <f>IF($A2&lt;&gt;"",$A2,"")</f>
        <v>Dale</v>
      </c>
      <c r="K24" s="34" t="b">
        <f>IF($A2&lt;&gt;"",IF(AND($F2&lt;&gt;"",$G2&lt;&gt;""),AND($F2&lt;=K$23,$G2&gt;K$23),FALSE),"")</f>
        <v>1</v>
      </c>
      <c r="L24" s="34" t="b">
        <f t="shared" ref="L24:V24" si="11">IF($A2&lt;&gt;"",IF(AND($F2&lt;&gt;"",$G2&lt;&gt;""),AND($F2&lt;=L$23,$G2&gt;L$23),FALSE),"")</f>
        <v>1</v>
      </c>
      <c r="M24" s="34" t="b">
        <f t="shared" si="11"/>
        <v>1</v>
      </c>
      <c r="N24" s="34" t="b">
        <f t="shared" si="11"/>
        <v>1</v>
      </c>
      <c r="O24" s="34" t="b">
        <f t="shared" si="11"/>
        <v>1</v>
      </c>
      <c r="P24" s="34" t="b">
        <f t="shared" si="11"/>
        <v>1</v>
      </c>
      <c r="Q24" s="34" t="b">
        <f t="shared" si="11"/>
        <v>1</v>
      </c>
      <c r="R24" s="34" t="b">
        <f t="shared" si="11"/>
        <v>1</v>
      </c>
      <c r="S24" s="34" t="b">
        <f t="shared" si="11"/>
        <v>1</v>
      </c>
      <c r="T24" s="34" t="b">
        <f t="shared" si="11"/>
        <v>1</v>
      </c>
      <c r="U24" s="34" t="b">
        <f t="shared" si="11"/>
        <v>1</v>
      </c>
      <c r="V24" s="34" t="b">
        <f t="shared" si="11"/>
        <v>1</v>
      </c>
    </row>
    <row r="25" spans="1:34" x14ac:dyDescent="0.25">
      <c r="B25" s="60"/>
      <c r="J25" s="38" t="str">
        <f t="shared" ref="J25:J43" si="12">IF($A3&lt;&gt;"",$A3,"")</f>
        <v>Margaret</v>
      </c>
      <c r="K25" s="34" t="b">
        <f t="shared" ref="K25:V43" si="13">IF($A3&lt;&gt;"",IF(AND($F3&lt;&gt;"",$G3&lt;&gt;""),AND($F3&lt;=K$23,$G3&gt;K$23),FALSE),"")</f>
        <v>1</v>
      </c>
      <c r="L25" s="34" t="b">
        <f t="shared" si="13"/>
        <v>1</v>
      </c>
      <c r="M25" s="34" t="b">
        <f t="shared" si="13"/>
        <v>1</v>
      </c>
      <c r="N25" s="34" t="b">
        <f t="shared" si="13"/>
        <v>1</v>
      </c>
      <c r="O25" s="34" t="b">
        <f t="shared" si="13"/>
        <v>1</v>
      </c>
      <c r="P25" s="34" t="b">
        <f t="shared" si="13"/>
        <v>1</v>
      </c>
      <c r="Q25" s="34" t="b">
        <f t="shared" si="13"/>
        <v>1</v>
      </c>
      <c r="R25" s="34" t="b">
        <f t="shared" si="13"/>
        <v>1</v>
      </c>
      <c r="S25" s="34" t="b">
        <f t="shared" si="13"/>
        <v>1</v>
      </c>
      <c r="T25" s="34" t="b">
        <f t="shared" si="13"/>
        <v>1</v>
      </c>
      <c r="U25" s="34" t="b">
        <f t="shared" si="13"/>
        <v>1</v>
      </c>
      <c r="V25" s="34" t="b">
        <f t="shared" si="13"/>
        <v>1</v>
      </c>
    </row>
    <row r="26" spans="1:34" x14ac:dyDescent="0.25">
      <c r="J26" s="38" t="str">
        <f t="shared" si="12"/>
        <v>Mason</v>
      </c>
      <c r="K26" s="34" t="b">
        <f t="shared" si="13"/>
        <v>1</v>
      </c>
      <c r="L26" s="34" t="b">
        <f t="shared" si="13"/>
        <v>1</v>
      </c>
      <c r="M26" s="34" t="b">
        <f t="shared" si="13"/>
        <v>1</v>
      </c>
      <c r="N26" s="34" t="b">
        <f t="shared" si="13"/>
        <v>1</v>
      </c>
      <c r="O26" s="34" t="b">
        <f t="shared" si="13"/>
        <v>1</v>
      </c>
      <c r="P26" s="34" t="b">
        <f t="shared" si="13"/>
        <v>1</v>
      </c>
      <c r="Q26" s="34" t="b">
        <f t="shared" si="13"/>
        <v>1</v>
      </c>
      <c r="R26" s="34" t="b">
        <f t="shared" si="13"/>
        <v>1</v>
      </c>
      <c r="S26" s="34" t="b">
        <f t="shared" si="13"/>
        <v>1</v>
      </c>
      <c r="T26" s="34" t="b">
        <f t="shared" si="13"/>
        <v>1</v>
      </c>
      <c r="U26" s="34" t="b">
        <f t="shared" si="13"/>
        <v>1</v>
      </c>
      <c r="V26" s="34" t="b">
        <f t="shared" si="13"/>
        <v>1</v>
      </c>
    </row>
    <row r="27" spans="1:34" x14ac:dyDescent="0.25">
      <c r="J27" s="38" t="str">
        <f t="shared" si="12"/>
        <v>Mike</v>
      </c>
      <c r="K27" s="34" t="b">
        <f t="shared" si="13"/>
        <v>1</v>
      </c>
      <c r="L27" s="34" t="b">
        <f t="shared" si="13"/>
        <v>1</v>
      </c>
      <c r="M27" s="34" t="b">
        <f t="shared" si="13"/>
        <v>1</v>
      </c>
      <c r="N27" s="34" t="b">
        <f t="shared" si="13"/>
        <v>1</v>
      </c>
      <c r="O27" s="34" t="b">
        <f t="shared" si="13"/>
        <v>1</v>
      </c>
      <c r="P27" s="34" t="b">
        <f t="shared" si="13"/>
        <v>1</v>
      </c>
      <c r="Q27" s="34" t="b">
        <f t="shared" si="13"/>
        <v>1</v>
      </c>
      <c r="R27" s="34" t="b">
        <f t="shared" si="13"/>
        <v>1</v>
      </c>
      <c r="S27" s="34" t="b">
        <f t="shared" si="13"/>
        <v>1</v>
      </c>
      <c r="T27" s="34" t="b">
        <f t="shared" si="13"/>
        <v>1</v>
      </c>
      <c r="U27" s="34" t="b">
        <f t="shared" si="13"/>
        <v>1</v>
      </c>
      <c r="V27" s="34" t="b">
        <f t="shared" si="13"/>
        <v>1</v>
      </c>
    </row>
    <row r="28" spans="1:34" x14ac:dyDescent="0.25">
      <c r="J28" s="38" t="str">
        <f t="shared" si="12"/>
        <v>Daniel</v>
      </c>
      <c r="K28" s="34" t="b">
        <f t="shared" si="13"/>
        <v>1</v>
      </c>
      <c r="L28" s="34" t="b">
        <f t="shared" si="13"/>
        <v>1</v>
      </c>
      <c r="M28" s="34" t="b">
        <f t="shared" si="13"/>
        <v>1</v>
      </c>
      <c r="N28" s="34" t="b">
        <f t="shared" si="13"/>
        <v>1</v>
      </c>
      <c r="O28" s="34" t="b">
        <f t="shared" si="13"/>
        <v>1</v>
      </c>
      <c r="P28" s="34" t="b">
        <f t="shared" si="13"/>
        <v>1</v>
      </c>
      <c r="Q28" s="34" t="b">
        <f t="shared" si="13"/>
        <v>1</v>
      </c>
      <c r="R28" s="34" t="b">
        <f t="shared" si="13"/>
        <v>1</v>
      </c>
      <c r="S28" s="34" t="b">
        <f t="shared" si="13"/>
        <v>1</v>
      </c>
      <c r="T28" s="34" t="b">
        <f t="shared" si="13"/>
        <v>1</v>
      </c>
      <c r="U28" s="34" t="b">
        <f t="shared" si="13"/>
        <v>1</v>
      </c>
      <c r="V28" s="34" t="b">
        <f t="shared" si="13"/>
        <v>1</v>
      </c>
    </row>
    <row r="29" spans="1:34" x14ac:dyDescent="0.25">
      <c r="J29" s="38" t="str">
        <f t="shared" si="12"/>
        <v>Noel</v>
      </c>
      <c r="K29" s="34" t="b">
        <f t="shared" si="13"/>
        <v>1</v>
      </c>
      <c r="L29" s="34" t="b">
        <f t="shared" si="13"/>
        <v>1</v>
      </c>
      <c r="M29" s="34" t="b">
        <f t="shared" si="13"/>
        <v>1</v>
      </c>
      <c r="N29" s="34" t="b">
        <f t="shared" si="13"/>
        <v>1</v>
      </c>
      <c r="O29" s="34" t="b">
        <f t="shared" si="13"/>
        <v>1</v>
      </c>
      <c r="P29" s="34" t="b">
        <f t="shared" si="13"/>
        <v>1</v>
      </c>
      <c r="Q29" s="34" t="b">
        <f t="shared" si="13"/>
        <v>1</v>
      </c>
      <c r="R29" s="34" t="b">
        <f t="shared" si="13"/>
        <v>1</v>
      </c>
      <c r="S29" s="34" t="b">
        <f t="shared" si="13"/>
        <v>1</v>
      </c>
      <c r="T29" s="34" t="b">
        <f t="shared" si="13"/>
        <v>1</v>
      </c>
      <c r="U29" s="34" t="b">
        <f t="shared" si="13"/>
        <v>1</v>
      </c>
      <c r="V29" s="34" t="b">
        <f t="shared" si="13"/>
        <v>1</v>
      </c>
    </row>
    <row r="30" spans="1:34" x14ac:dyDescent="0.25">
      <c r="J30" s="38" t="str">
        <f t="shared" si="12"/>
        <v>Cheryl</v>
      </c>
      <c r="K30" s="34" t="b">
        <f t="shared" si="13"/>
        <v>1</v>
      </c>
      <c r="L30" s="34" t="b">
        <f t="shared" si="13"/>
        <v>1</v>
      </c>
      <c r="M30" s="34" t="b">
        <f t="shared" si="13"/>
        <v>1</v>
      </c>
      <c r="N30" s="34" t="b">
        <f t="shared" si="13"/>
        <v>1</v>
      </c>
      <c r="O30" s="34" t="b">
        <f t="shared" si="13"/>
        <v>1</v>
      </c>
      <c r="P30" s="34" t="b">
        <f t="shared" si="13"/>
        <v>1</v>
      </c>
      <c r="Q30" s="34" t="b">
        <f t="shared" si="13"/>
        <v>1</v>
      </c>
      <c r="R30" s="34" t="b">
        <f t="shared" si="13"/>
        <v>1</v>
      </c>
      <c r="S30" s="34" t="b">
        <f t="shared" si="13"/>
        <v>1</v>
      </c>
      <c r="T30" s="34" t="b">
        <f t="shared" si="13"/>
        <v>1</v>
      </c>
      <c r="U30" s="34" t="b">
        <f t="shared" si="13"/>
        <v>1</v>
      </c>
      <c r="V30" s="34" t="b">
        <f t="shared" si="13"/>
        <v>1</v>
      </c>
    </row>
    <row r="31" spans="1:34" x14ac:dyDescent="0.25">
      <c r="J31" s="38" t="str">
        <f t="shared" si="12"/>
        <v>Ali</v>
      </c>
      <c r="K31" s="34" t="b">
        <f t="shared" si="13"/>
        <v>1</v>
      </c>
      <c r="L31" s="34" t="b">
        <f t="shared" si="13"/>
        <v>1</v>
      </c>
      <c r="M31" s="34" t="b">
        <f t="shared" si="13"/>
        <v>1</v>
      </c>
      <c r="N31" s="34" t="b">
        <f t="shared" si="13"/>
        <v>1</v>
      </c>
      <c r="O31" s="34" t="b">
        <f t="shared" si="13"/>
        <v>1</v>
      </c>
      <c r="P31" s="34" t="b">
        <f t="shared" si="13"/>
        <v>1</v>
      </c>
      <c r="Q31" s="34" t="b">
        <f t="shared" si="13"/>
        <v>1</v>
      </c>
      <c r="R31" s="34" t="b">
        <f t="shared" si="13"/>
        <v>1</v>
      </c>
      <c r="S31" s="34" t="b">
        <f t="shared" si="13"/>
        <v>1</v>
      </c>
      <c r="T31" s="34" t="b">
        <f t="shared" si="13"/>
        <v>1</v>
      </c>
      <c r="U31" s="34" t="b">
        <f t="shared" si="13"/>
        <v>1</v>
      </c>
      <c r="V31" s="34" t="b">
        <f t="shared" si="13"/>
        <v>1</v>
      </c>
    </row>
    <row r="32" spans="1:34" x14ac:dyDescent="0.25">
      <c r="J32" s="38" t="str">
        <f t="shared" si="12"/>
        <v>Todd</v>
      </c>
      <c r="K32" s="34" t="b">
        <f t="shared" si="13"/>
        <v>0</v>
      </c>
      <c r="L32" s="34" t="b">
        <f t="shared" si="13"/>
        <v>1</v>
      </c>
      <c r="M32" s="34" t="b">
        <f t="shared" si="13"/>
        <v>1</v>
      </c>
      <c r="N32" s="34" t="b">
        <f t="shared" si="13"/>
        <v>1</v>
      </c>
      <c r="O32" s="34" t="b">
        <f t="shared" si="13"/>
        <v>1</v>
      </c>
      <c r="P32" s="34" t="b">
        <f t="shared" si="13"/>
        <v>1</v>
      </c>
      <c r="Q32" s="34" t="b">
        <f t="shared" si="13"/>
        <v>1</v>
      </c>
      <c r="R32" s="34" t="b">
        <f t="shared" si="13"/>
        <v>0</v>
      </c>
      <c r="S32" s="34" t="b">
        <f t="shared" si="13"/>
        <v>0</v>
      </c>
      <c r="T32" s="34" t="b">
        <f t="shared" si="13"/>
        <v>0</v>
      </c>
      <c r="U32" s="34" t="b">
        <f t="shared" si="13"/>
        <v>0</v>
      </c>
      <c r="V32" s="34" t="b">
        <f t="shared" si="13"/>
        <v>0</v>
      </c>
    </row>
    <row r="33" spans="10:22" x14ac:dyDescent="0.25">
      <c r="J33" s="38" t="str">
        <f t="shared" si="12"/>
        <v/>
      </c>
      <c r="K33" s="34" t="str">
        <f t="shared" si="13"/>
        <v/>
      </c>
      <c r="L33" s="34" t="str">
        <f t="shared" si="13"/>
        <v/>
      </c>
      <c r="M33" s="34" t="str">
        <f t="shared" si="13"/>
        <v/>
      </c>
      <c r="N33" s="34" t="str">
        <f t="shared" si="13"/>
        <v/>
      </c>
      <c r="O33" s="34" t="str">
        <f t="shared" si="13"/>
        <v/>
      </c>
      <c r="P33" s="34" t="str">
        <f t="shared" si="13"/>
        <v/>
      </c>
      <c r="Q33" s="34" t="str">
        <f t="shared" si="13"/>
        <v/>
      </c>
      <c r="R33" s="34" t="str">
        <f t="shared" si="13"/>
        <v/>
      </c>
      <c r="S33" s="34" t="str">
        <f t="shared" si="13"/>
        <v/>
      </c>
      <c r="T33" s="34" t="str">
        <f t="shared" si="13"/>
        <v/>
      </c>
      <c r="U33" s="34" t="str">
        <f t="shared" si="13"/>
        <v/>
      </c>
      <c r="V33" s="34" t="str">
        <f t="shared" si="13"/>
        <v/>
      </c>
    </row>
    <row r="34" spans="10:22" x14ac:dyDescent="0.25">
      <c r="J34" s="38" t="str">
        <f t="shared" si="12"/>
        <v/>
      </c>
      <c r="K34" s="34" t="str">
        <f t="shared" si="13"/>
        <v/>
      </c>
      <c r="L34" s="34" t="str">
        <f t="shared" si="13"/>
        <v/>
      </c>
      <c r="M34" s="34" t="str">
        <f t="shared" si="13"/>
        <v/>
      </c>
      <c r="N34" s="34" t="str">
        <f t="shared" si="13"/>
        <v/>
      </c>
      <c r="O34" s="34" t="str">
        <f t="shared" si="13"/>
        <v/>
      </c>
      <c r="P34" s="34" t="str">
        <f t="shared" si="13"/>
        <v/>
      </c>
      <c r="Q34" s="34" t="str">
        <f t="shared" si="13"/>
        <v/>
      </c>
      <c r="R34" s="34" t="str">
        <f t="shared" si="13"/>
        <v/>
      </c>
      <c r="S34" s="34" t="str">
        <f t="shared" si="13"/>
        <v/>
      </c>
      <c r="T34" s="34" t="str">
        <f t="shared" si="13"/>
        <v/>
      </c>
      <c r="U34" s="34" t="str">
        <f t="shared" si="13"/>
        <v/>
      </c>
      <c r="V34" s="34" t="str">
        <f t="shared" si="13"/>
        <v/>
      </c>
    </row>
    <row r="35" spans="10:22" x14ac:dyDescent="0.25">
      <c r="J35" s="38" t="str">
        <f t="shared" si="12"/>
        <v/>
      </c>
      <c r="K35" s="34" t="str">
        <f t="shared" si="13"/>
        <v/>
      </c>
      <c r="L35" s="34" t="str">
        <f t="shared" si="13"/>
        <v/>
      </c>
      <c r="M35" s="34" t="str">
        <f t="shared" si="13"/>
        <v/>
      </c>
      <c r="N35" s="34" t="str">
        <f t="shared" si="13"/>
        <v/>
      </c>
      <c r="O35" s="34" t="str">
        <f t="shared" si="13"/>
        <v/>
      </c>
      <c r="P35" s="34" t="str">
        <f t="shared" si="13"/>
        <v/>
      </c>
      <c r="Q35" s="34" t="str">
        <f t="shared" si="13"/>
        <v/>
      </c>
      <c r="R35" s="34" t="str">
        <f t="shared" si="13"/>
        <v/>
      </c>
      <c r="S35" s="34" t="str">
        <f t="shared" si="13"/>
        <v/>
      </c>
      <c r="T35" s="34" t="str">
        <f t="shared" si="13"/>
        <v/>
      </c>
      <c r="U35" s="34" t="str">
        <f t="shared" si="13"/>
        <v/>
      </c>
      <c r="V35" s="34" t="str">
        <f t="shared" si="13"/>
        <v/>
      </c>
    </row>
    <row r="36" spans="10:22" x14ac:dyDescent="0.25">
      <c r="J36" s="38" t="str">
        <f t="shared" si="12"/>
        <v/>
      </c>
      <c r="K36" s="34" t="str">
        <f t="shared" si="13"/>
        <v/>
      </c>
      <c r="L36" s="34" t="str">
        <f t="shared" si="13"/>
        <v/>
      </c>
      <c r="M36" s="34" t="str">
        <f t="shared" si="13"/>
        <v/>
      </c>
      <c r="N36" s="34" t="str">
        <f t="shared" si="13"/>
        <v/>
      </c>
      <c r="O36" s="34" t="str">
        <f t="shared" si="13"/>
        <v/>
      </c>
      <c r="P36" s="34" t="str">
        <f t="shared" si="13"/>
        <v/>
      </c>
      <c r="Q36" s="34" t="str">
        <f t="shared" si="13"/>
        <v/>
      </c>
      <c r="R36" s="34" t="str">
        <f t="shared" si="13"/>
        <v/>
      </c>
      <c r="S36" s="34" t="str">
        <f t="shared" si="13"/>
        <v/>
      </c>
      <c r="T36" s="34" t="str">
        <f t="shared" si="13"/>
        <v/>
      </c>
      <c r="U36" s="34" t="str">
        <f t="shared" si="13"/>
        <v/>
      </c>
      <c r="V36" s="34" t="str">
        <f t="shared" si="13"/>
        <v/>
      </c>
    </row>
    <row r="37" spans="10:22" x14ac:dyDescent="0.25">
      <c r="J37" s="38" t="str">
        <f t="shared" si="12"/>
        <v/>
      </c>
      <c r="K37" s="34" t="str">
        <f t="shared" si="13"/>
        <v/>
      </c>
      <c r="L37" s="34" t="str">
        <f t="shared" si="13"/>
        <v/>
      </c>
      <c r="M37" s="34" t="str">
        <f t="shared" si="13"/>
        <v/>
      </c>
      <c r="N37" s="34" t="str">
        <f t="shared" si="13"/>
        <v/>
      </c>
      <c r="O37" s="34" t="str">
        <f t="shared" si="13"/>
        <v/>
      </c>
      <c r="P37" s="34" t="str">
        <f t="shared" si="13"/>
        <v/>
      </c>
      <c r="Q37" s="34" t="str">
        <f t="shared" si="13"/>
        <v/>
      </c>
      <c r="R37" s="34" t="str">
        <f t="shared" si="13"/>
        <v/>
      </c>
      <c r="S37" s="34" t="str">
        <f t="shared" si="13"/>
        <v/>
      </c>
      <c r="T37" s="34" t="str">
        <f t="shared" si="13"/>
        <v/>
      </c>
      <c r="U37" s="34" t="str">
        <f t="shared" si="13"/>
        <v/>
      </c>
      <c r="V37" s="34" t="str">
        <f t="shared" si="13"/>
        <v/>
      </c>
    </row>
    <row r="38" spans="10:22" x14ac:dyDescent="0.25">
      <c r="J38" s="38" t="str">
        <f t="shared" si="12"/>
        <v/>
      </c>
      <c r="K38" s="34" t="str">
        <f t="shared" si="13"/>
        <v/>
      </c>
      <c r="L38" s="34" t="str">
        <f t="shared" si="13"/>
        <v/>
      </c>
      <c r="M38" s="34" t="str">
        <f t="shared" si="13"/>
        <v/>
      </c>
      <c r="N38" s="34" t="str">
        <f t="shared" si="13"/>
        <v/>
      </c>
      <c r="O38" s="34" t="str">
        <f t="shared" si="13"/>
        <v/>
      </c>
      <c r="P38" s="34" t="str">
        <f t="shared" si="13"/>
        <v/>
      </c>
      <c r="Q38" s="34" t="str">
        <f t="shared" si="13"/>
        <v/>
      </c>
      <c r="R38" s="34" t="str">
        <f t="shared" si="13"/>
        <v/>
      </c>
      <c r="S38" s="34" t="str">
        <f t="shared" si="13"/>
        <v/>
      </c>
      <c r="T38" s="34" t="str">
        <f t="shared" si="13"/>
        <v/>
      </c>
      <c r="U38" s="34" t="str">
        <f t="shared" si="13"/>
        <v/>
      </c>
      <c r="V38" s="34" t="str">
        <f t="shared" si="13"/>
        <v/>
      </c>
    </row>
    <row r="39" spans="10:22" x14ac:dyDescent="0.25">
      <c r="J39" s="38" t="str">
        <f t="shared" si="12"/>
        <v/>
      </c>
      <c r="K39" s="34" t="str">
        <f t="shared" si="13"/>
        <v/>
      </c>
      <c r="L39" s="34" t="str">
        <f t="shared" si="13"/>
        <v/>
      </c>
      <c r="M39" s="34" t="str">
        <f t="shared" si="13"/>
        <v/>
      </c>
      <c r="N39" s="34" t="str">
        <f t="shared" si="13"/>
        <v/>
      </c>
      <c r="O39" s="34" t="str">
        <f t="shared" si="13"/>
        <v/>
      </c>
      <c r="P39" s="34" t="str">
        <f t="shared" si="13"/>
        <v/>
      </c>
      <c r="Q39" s="34" t="str">
        <f t="shared" si="13"/>
        <v/>
      </c>
      <c r="R39" s="34" t="str">
        <f t="shared" si="13"/>
        <v/>
      </c>
      <c r="S39" s="34" t="str">
        <f t="shared" si="13"/>
        <v/>
      </c>
      <c r="T39" s="34" t="str">
        <f t="shared" si="13"/>
        <v/>
      </c>
      <c r="U39" s="34" t="str">
        <f t="shared" si="13"/>
        <v/>
      </c>
      <c r="V39" s="34" t="str">
        <f t="shared" si="13"/>
        <v/>
      </c>
    </row>
    <row r="40" spans="10:22" x14ac:dyDescent="0.25">
      <c r="J40" s="38" t="str">
        <f t="shared" si="12"/>
        <v/>
      </c>
      <c r="K40" s="34" t="str">
        <f t="shared" si="13"/>
        <v/>
      </c>
      <c r="L40" s="34" t="str">
        <f t="shared" si="13"/>
        <v/>
      </c>
      <c r="M40" s="34" t="str">
        <f t="shared" si="13"/>
        <v/>
      </c>
      <c r="N40" s="34" t="str">
        <f t="shared" si="13"/>
        <v/>
      </c>
      <c r="O40" s="34" t="str">
        <f t="shared" si="13"/>
        <v/>
      </c>
      <c r="P40" s="34" t="str">
        <f t="shared" si="13"/>
        <v/>
      </c>
      <c r="Q40" s="34" t="str">
        <f t="shared" si="13"/>
        <v/>
      </c>
      <c r="R40" s="34" t="str">
        <f t="shared" si="13"/>
        <v/>
      </c>
      <c r="S40" s="34" t="str">
        <f t="shared" si="13"/>
        <v/>
      </c>
      <c r="T40" s="34" t="str">
        <f t="shared" si="13"/>
        <v/>
      </c>
      <c r="U40" s="34" t="str">
        <f t="shared" si="13"/>
        <v/>
      </c>
      <c r="V40" s="34" t="str">
        <f t="shared" si="13"/>
        <v/>
      </c>
    </row>
    <row r="41" spans="10:22" x14ac:dyDescent="0.25">
      <c r="J41" s="38" t="str">
        <f t="shared" si="12"/>
        <v/>
      </c>
      <c r="K41" s="34" t="str">
        <f t="shared" si="13"/>
        <v/>
      </c>
      <c r="L41" s="34" t="str">
        <f t="shared" si="13"/>
        <v/>
      </c>
      <c r="M41" s="34" t="str">
        <f t="shared" si="13"/>
        <v/>
      </c>
      <c r="N41" s="34" t="str">
        <f t="shared" si="13"/>
        <v/>
      </c>
      <c r="O41" s="34" t="str">
        <f t="shared" si="13"/>
        <v/>
      </c>
      <c r="P41" s="34" t="str">
        <f t="shared" si="13"/>
        <v/>
      </c>
      <c r="Q41" s="34" t="str">
        <f t="shared" si="13"/>
        <v/>
      </c>
      <c r="R41" s="34" t="str">
        <f t="shared" si="13"/>
        <v/>
      </c>
      <c r="S41" s="34" t="str">
        <f t="shared" si="13"/>
        <v/>
      </c>
      <c r="T41" s="34" t="str">
        <f t="shared" si="13"/>
        <v/>
      </c>
      <c r="U41" s="34" t="str">
        <f t="shared" si="13"/>
        <v/>
      </c>
      <c r="V41" s="34" t="str">
        <f t="shared" si="13"/>
        <v/>
      </c>
    </row>
    <row r="42" spans="10:22" x14ac:dyDescent="0.25">
      <c r="J42" s="38" t="str">
        <f t="shared" si="12"/>
        <v/>
      </c>
      <c r="K42" s="34" t="str">
        <f t="shared" si="13"/>
        <v/>
      </c>
      <c r="L42" s="34" t="str">
        <f t="shared" si="13"/>
        <v/>
      </c>
      <c r="M42" s="34" t="str">
        <f t="shared" si="13"/>
        <v/>
      </c>
      <c r="N42" s="34" t="str">
        <f t="shared" si="13"/>
        <v/>
      </c>
      <c r="O42" s="34" t="str">
        <f t="shared" si="13"/>
        <v/>
      </c>
      <c r="P42" s="34" t="str">
        <f t="shared" si="13"/>
        <v/>
      </c>
      <c r="Q42" s="34" t="str">
        <f t="shared" si="13"/>
        <v/>
      </c>
      <c r="R42" s="34" t="str">
        <f t="shared" si="13"/>
        <v/>
      </c>
      <c r="S42" s="34" t="str">
        <f t="shared" si="13"/>
        <v/>
      </c>
      <c r="T42" s="34" t="str">
        <f t="shared" si="13"/>
        <v/>
      </c>
      <c r="U42" s="34" t="str">
        <f t="shared" si="13"/>
        <v/>
      </c>
      <c r="V42" s="34" t="str">
        <f t="shared" si="13"/>
        <v/>
      </c>
    </row>
    <row r="43" spans="10:22" x14ac:dyDescent="0.25">
      <c r="J43" s="38" t="str">
        <f t="shared" si="12"/>
        <v/>
      </c>
      <c r="K43" s="34" t="str">
        <f t="shared" si="13"/>
        <v/>
      </c>
      <c r="L43" s="34" t="str">
        <f t="shared" si="13"/>
        <v/>
      </c>
      <c r="M43" s="34" t="str">
        <f t="shared" si="13"/>
        <v/>
      </c>
      <c r="N43" s="34" t="str">
        <f t="shared" si="13"/>
        <v/>
      </c>
      <c r="O43" s="34" t="str">
        <f t="shared" si="13"/>
        <v/>
      </c>
      <c r="P43" s="34" t="str">
        <f t="shared" si="13"/>
        <v/>
      </c>
      <c r="Q43" s="34" t="str">
        <f t="shared" si="13"/>
        <v/>
      </c>
      <c r="R43" s="34" t="str">
        <f t="shared" si="13"/>
        <v/>
      </c>
      <c r="S43" s="34" t="str">
        <f t="shared" si="13"/>
        <v/>
      </c>
      <c r="T43" s="34" t="str">
        <f t="shared" si="13"/>
        <v/>
      </c>
      <c r="U43" s="34" t="str">
        <f t="shared" si="13"/>
        <v/>
      </c>
      <c r="V43" s="34" t="str">
        <f t="shared" si="13"/>
        <v/>
      </c>
    </row>
  </sheetData>
  <dataConsolidate/>
  <conditionalFormatting sqref="K2:N21">
    <cfRule type="expression" dxfId="7" priority="6">
      <formula>$B2=K$1</formula>
    </cfRule>
    <cfRule type="containsText" dxfId="6" priority="9" operator="containsText" text="FALSE">
      <formula>NOT(ISERROR(SEARCH("FALSE",K2)))</formula>
    </cfRule>
    <cfRule type="containsText" dxfId="5" priority="10" operator="containsText" text="TRUE">
      <formula>NOT(ISERROR(SEARCH("TRUE",K2)))</formula>
    </cfRule>
  </conditionalFormatting>
  <conditionalFormatting sqref="Q2:T21">
    <cfRule type="expression" dxfId="4" priority="5">
      <formula>$D2=Q$1</formula>
    </cfRule>
    <cfRule type="containsText" dxfId="3" priority="7" operator="containsText" text="FALSE">
      <formula>NOT(ISERROR(SEARCH("FALSE",Q2)))</formula>
    </cfRule>
    <cfRule type="containsText" dxfId="2" priority="8" operator="containsText" text="TRUE">
      <formula>NOT(ISERROR(SEARCH("TRUE",Q2)))</formula>
    </cfRule>
  </conditionalFormatting>
  <conditionalFormatting sqref="K24:V43">
    <cfRule type="containsText" dxfId="1" priority="1" operator="containsText" text="FALSE">
      <formula>NOT(ISERROR(SEARCH("FALSE",K24)))</formula>
    </cfRule>
    <cfRule type="containsText" dxfId="0" priority="2" operator="containsText" text="TRUE">
      <formula>NOT(ISERROR(SEARCH("TRUE",K24)))</formula>
    </cfRule>
  </conditionalFormatting>
  <dataValidations count="25">
    <dataValidation type="list" allowBlank="1" showInputMessage="1" sqref="B21" xr:uid="{8A750BC6-A1ED-4DEC-954B-0E0ED1C22734}">
      <formula1>Bays20</formula1>
    </dataValidation>
    <dataValidation type="list" allowBlank="1" showInputMessage="1" sqref="D2:D21" xr:uid="{8A8D8E33-2731-4477-B460-FC9D53AB2BC7}">
      <formula1>"Early,Middle,Late,Extra Late"</formula1>
    </dataValidation>
    <dataValidation type="list" allowBlank="1" showInputMessage="1" sqref="F11:F21" xr:uid="{6D17BB21-FFC1-4101-9DCB-B508DC7A0861}">
      <formula1>"6:00 AM,7:00 AM,8:00 AM,9:00 AM,10:00 AM,11:00 AM,12:00 PM,1:00 PM,2:00 PM,3:00 PM,4:00 PM,5:00 PM"</formula1>
    </dataValidation>
    <dataValidation type="list" allowBlank="1" showInputMessage="1" sqref="G11:G21" xr:uid="{480F2DBE-19EF-423B-A612-33E3E1FD69C1}">
      <formula1>"7:00 AM, 8:00 AM, 9:00 AM, 10:00 AM, 11:00 AM, 12:00 PM, 1:00 PM, 2:00 PM, 3:00 PM, 4:00 PM, 5:00 PM, 6:00 PM"</formula1>
    </dataValidation>
    <dataValidation type="list" allowBlank="1" showInputMessage="1" sqref="B2" xr:uid="{5EFDC014-4085-460B-A01C-8223FB007CBD}">
      <formula1>Bays1</formula1>
    </dataValidation>
    <dataValidation type="list" allowBlank="1" showInputMessage="1" sqref="B3" xr:uid="{4CA07AE9-F64B-44ED-99BE-180FB39D6A9B}">
      <formula1>Bays2</formula1>
    </dataValidation>
    <dataValidation type="list" allowBlank="1" showInputMessage="1" sqref="B4" xr:uid="{B989FA72-1A40-4F4B-BD28-1BDBCFC55C83}">
      <formula1>Bays3</formula1>
    </dataValidation>
    <dataValidation type="list" allowBlank="1" showInputMessage="1" sqref="B5" xr:uid="{446698C6-AD7C-4B06-8BB2-03942C7EF346}">
      <formula1>Bays4</formula1>
    </dataValidation>
    <dataValidation type="list" allowBlank="1" showInputMessage="1" sqref="B6" xr:uid="{4DC4AEA4-8072-42E4-9E42-DF04C219E75C}">
      <formula1>Bays5</formula1>
    </dataValidation>
    <dataValidation type="list" allowBlank="1" showInputMessage="1" sqref="B7" xr:uid="{4AFA183D-36C6-4519-9F92-D14C67AE3589}">
      <formula1>Bays6</formula1>
    </dataValidation>
    <dataValidation type="list" allowBlank="1" showInputMessage="1" sqref="B8" xr:uid="{6948BFF3-C43C-4CC2-8DF2-BEA05EE09139}">
      <formula1>Bays7</formula1>
    </dataValidation>
    <dataValidation type="list" allowBlank="1" showInputMessage="1" sqref="B9" xr:uid="{7659066C-F720-4611-A06F-03232D2A8389}">
      <formula1>Bays8</formula1>
    </dataValidation>
    <dataValidation type="list" allowBlank="1" showInputMessage="1" sqref="B10" xr:uid="{3C5C2C41-B372-4030-A72E-F25D50E5B744}">
      <formula1>Bays9</formula1>
    </dataValidation>
    <dataValidation type="list" allowBlank="1" showInputMessage="1" sqref="B11" xr:uid="{7427356F-8E1A-4E8E-92DB-FE7EEC37669E}">
      <formula1>Bays10</formula1>
    </dataValidation>
    <dataValidation type="list" allowBlank="1" showInputMessage="1" sqref="B12" xr:uid="{F0FEFC7F-0030-4530-A86B-A7E9B39FA7CF}">
      <formula1>Bays11</formula1>
    </dataValidation>
    <dataValidation type="list" allowBlank="1" showInputMessage="1" sqref="B13" xr:uid="{4FD24C07-5016-4E90-AB26-6E42EAC13059}">
      <formula1>Bays12</formula1>
    </dataValidation>
    <dataValidation type="list" allowBlank="1" showInputMessage="1" sqref="B14" xr:uid="{6232EFDB-2D46-44D1-B909-CA15366B1755}">
      <formula1>Bays13</formula1>
    </dataValidation>
    <dataValidation type="list" allowBlank="1" showInputMessage="1" sqref="B15" xr:uid="{2D9D7339-9A56-49D2-AD2F-A72BBE6B03DD}">
      <formula1>Bays14</formula1>
    </dataValidation>
    <dataValidation type="list" allowBlank="1" showInputMessage="1" sqref="B16" xr:uid="{5D97BB2D-16A9-4D32-95BE-03558AE489C2}">
      <formula1>Bays15</formula1>
    </dataValidation>
    <dataValidation type="list" allowBlank="1" showInputMessage="1" sqref="B17" xr:uid="{75C46AD6-05A2-4CCC-B572-034CBC617E70}">
      <formula1>Bays16</formula1>
    </dataValidation>
    <dataValidation type="list" allowBlank="1" showInputMessage="1" sqref="B18" xr:uid="{FB772EAE-D8D9-41E7-B982-8BCFD159853A}">
      <formula1>Bays17</formula1>
    </dataValidation>
    <dataValidation type="list" allowBlank="1" showInputMessage="1" sqref="B19" xr:uid="{5485A2EC-4B01-4B7B-8C66-E9C2AFF53471}">
      <formula1>Bays18</formula1>
    </dataValidation>
    <dataValidation type="list" allowBlank="1" showInputMessage="1" sqref="B20" xr:uid="{F1D874E4-8DD3-4890-BD9D-4DD01E604912}">
      <formula1>Bays19</formula1>
    </dataValidation>
    <dataValidation type="list" allowBlank="1" showInputMessage="1" sqref="F2:F10" xr:uid="{79F77019-AD9B-4034-B72F-1A23CB275018}">
      <formula1>StartTime2</formula1>
    </dataValidation>
    <dataValidation type="list" allowBlank="1" showInputMessage="1" sqref="G2:G10" xr:uid="{7C5A16A4-D0DA-406D-8BEC-E4721D9D348E}">
      <formula1>EndTime2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D6176-8A0A-424C-AE36-6E9207369AFE}">
  <sheetPr codeName="Sheet6"/>
  <dimension ref="A1:H20"/>
  <sheetViews>
    <sheetView workbookViewId="0">
      <selection activeCell="B1" sqref="B1"/>
    </sheetView>
  </sheetViews>
  <sheetFormatPr defaultRowHeight="15" x14ac:dyDescent="0.25"/>
  <sheetData>
    <row r="1" spans="1:8" x14ac:dyDescent="0.25">
      <c r="A1" t="str">
        <f>IF(Data!$A2&lt;&gt;"",Data!$A2,"")</f>
        <v>Dale</v>
      </c>
      <c r="B1" t="str">
        <f>IFERROR(IF($A1&lt;&gt;"",IF(Data!$K2,"A",IF(Data!$L2,"B",IF(Data!$M2,"C","D"))),""),"")</f>
        <v>A</v>
      </c>
      <c r="C1" t="str">
        <f>IF($A1&lt;&gt;"",IF(COUNTIF(Data!$K2:'Data'!$N2,TRUE)&gt;1,IF(AND(Data!$L2,$B1&lt;&gt;"B"),"B",IF(AND(Data!$M2,$B1&lt;&gt;"C"),"C","D")),""),"")</f>
        <v>B</v>
      </c>
      <c r="D1" t="str">
        <f>IF($A1&lt;&gt;"",IF(COUNTIF(Data!$K2:'Data'!$N2,TRUE)&gt;2,IF(AND(Data!$M2,$C1&lt;&gt;"C"),"C","D"),""),"")</f>
        <v/>
      </c>
      <c r="E1" t="str">
        <f>IF($A1&lt;&gt;"",IF(COUNTIF(Data!$K2:'Data'!$N2,TRUE)&gt;3,"D",""),"")</f>
        <v/>
      </c>
      <c r="G1" s="59" t="s">
        <v>52</v>
      </c>
      <c r="H1" s="59" t="s">
        <v>51</v>
      </c>
    </row>
    <row r="2" spans="1:8" x14ac:dyDescent="0.25">
      <c r="A2" t="str">
        <f>IF(Data!$A3&lt;&gt;"",Data!$A3,"")</f>
        <v>Margaret</v>
      </c>
      <c r="B2" t="str">
        <f>IFERROR(IF($A2&lt;&gt;"",IF(Data!$K3,"A",IF(Data!$L3,"B",IF(Data!$M3,"C","D"))),""),"")</f>
        <v>A</v>
      </c>
      <c r="C2" t="str">
        <f>IF($A2&lt;&gt;"",IF(COUNTIF(Data!$K3:'Data'!$N3,TRUE)&gt;1,IF(AND(Data!$L3,$B2&lt;&gt;"B"),"B",IF(AND(Data!$M3,$B2&lt;&gt;"C"),"C","D")),""),"")</f>
        <v>D</v>
      </c>
      <c r="D2" t="str">
        <f>IF($A2&lt;&gt;"",IF(COUNTIF(Data!$K3:'Data'!$N3,TRUE)&gt;2,IF(AND(Data!$M3,$C2&lt;&gt;"C"),"C","D"),""),"")</f>
        <v/>
      </c>
      <c r="E2" t="str">
        <f>IF($A2&lt;&gt;"",IF(COUNTIF(Data!$K3:'Data'!$N3,TRUE)&gt;3,"D",""),"")</f>
        <v/>
      </c>
      <c r="G2" s="41">
        <v>0.25</v>
      </c>
      <c r="H2" s="41">
        <v>0.75</v>
      </c>
    </row>
    <row r="3" spans="1:8" x14ac:dyDescent="0.25">
      <c r="A3" t="str">
        <f>IF(Data!$A4&lt;&gt;"",Data!$A4,"")</f>
        <v>Mason</v>
      </c>
      <c r="B3" t="str">
        <f>IFERROR(IF($A3&lt;&gt;"",IF(Data!$K4,"A",IF(Data!$L4,"B",IF(Data!$M4,"C","D"))),""),"")</f>
        <v>A</v>
      </c>
      <c r="C3" t="str">
        <f>IF($A3&lt;&gt;"",IF(COUNTIF(Data!$K4:'Data'!$N4,TRUE)&gt;1,IF(AND(Data!$L4,$B3&lt;&gt;"B"),"B",IF(AND(Data!$M4,$B3&lt;&gt;"C"),"C","D")),""),"")</f>
        <v>B</v>
      </c>
      <c r="D3" t="str">
        <f>IF($A3&lt;&gt;"",IF(COUNTIF(Data!$K4:'Data'!$N4,TRUE)&gt;2,IF(AND(Data!$M4,$C3&lt;&gt;"C"),"C","D"),""),"")</f>
        <v>C</v>
      </c>
      <c r="E3" t="str">
        <f>IF($A3&lt;&gt;"",IF(COUNTIF(Data!$K4:'Data'!$N4,TRUE)&gt;3,"D",""),"")</f>
        <v>D</v>
      </c>
      <c r="G3" s="41">
        <v>0.29166666666666669</v>
      </c>
      <c r="H3" s="41">
        <v>0.70833333333333337</v>
      </c>
    </row>
    <row r="4" spans="1:8" x14ac:dyDescent="0.25">
      <c r="A4" t="str">
        <f>IF(Data!$A5&lt;&gt;"",Data!$A5,"")</f>
        <v>Mike</v>
      </c>
      <c r="B4" t="str">
        <f>IFERROR(IF($A4&lt;&gt;"",IF(Data!$K5,"A",IF(Data!$L5,"B",IF(Data!$M5,"C","D"))),""),"")</f>
        <v>B</v>
      </c>
      <c r="C4" t="str">
        <f>IF($A4&lt;&gt;"",IF(COUNTIF(Data!$K5:'Data'!$N5,TRUE)&gt;1,IF(AND(Data!$L5,$B4&lt;&gt;"B"),"B",IF(AND(Data!$M5,$B4&lt;&gt;"C"),"C","D")),""),"")</f>
        <v/>
      </c>
      <c r="D4" t="str">
        <f>IF($A4&lt;&gt;"",IF(COUNTIF(Data!$K5:'Data'!$N5,TRUE)&gt;2,IF(AND(Data!$M5,$C4&lt;&gt;"C"),"C","D"),""),"")</f>
        <v/>
      </c>
      <c r="E4" t="str">
        <f>IF($A4&lt;&gt;"",IF(COUNTIF(Data!$K5:'Data'!$N5,TRUE)&gt;3,"D",""),"")</f>
        <v/>
      </c>
      <c r="G4" s="41">
        <v>0.33333333333333331</v>
      </c>
      <c r="H4" s="41">
        <v>0.66666666666666663</v>
      </c>
    </row>
    <row r="5" spans="1:8" x14ac:dyDescent="0.25">
      <c r="A5" t="str">
        <f>IF(Data!$A6&lt;&gt;"",Data!$A6,"")</f>
        <v>Daniel</v>
      </c>
      <c r="B5" t="str">
        <f>IFERROR(IF($A5&lt;&gt;"",IF(Data!$K6,"A",IF(Data!$L6,"B",IF(Data!$M6,"C","D"))),""),"")</f>
        <v>B</v>
      </c>
      <c r="C5" t="str">
        <f>IF($A5&lt;&gt;"",IF(COUNTIF(Data!$K6:'Data'!$N6,TRUE)&gt;1,IF(AND(Data!$L6,$B5&lt;&gt;"B"),"B",IF(AND(Data!$M6,$B5&lt;&gt;"C"),"C","D")),""),"")</f>
        <v>C</v>
      </c>
      <c r="D5" t="str">
        <f>IF($A5&lt;&gt;"",IF(COUNTIF(Data!$K6:'Data'!$N6,TRUE)&gt;2,IF(AND(Data!$M6,$C5&lt;&gt;"C"),"C","D"),""),"")</f>
        <v/>
      </c>
      <c r="E5" t="str">
        <f>IF($A5&lt;&gt;"",IF(COUNTIF(Data!$K6:'Data'!$N6,TRUE)&gt;3,"D",""),"")</f>
        <v/>
      </c>
      <c r="G5" s="41">
        <v>0.375</v>
      </c>
      <c r="H5" s="41">
        <v>0.625</v>
      </c>
    </row>
    <row r="6" spans="1:8" x14ac:dyDescent="0.25">
      <c r="A6" t="str">
        <f>IF(Data!$A7&lt;&gt;"",Data!$A7,"")</f>
        <v>Noel</v>
      </c>
      <c r="B6" t="str">
        <f>IFERROR(IF($A6&lt;&gt;"",IF(Data!$K7,"A",IF(Data!$L7,"B",IF(Data!$M7,"C","D"))),""),"")</f>
        <v>C</v>
      </c>
      <c r="C6" t="str">
        <f>IF($A6&lt;&gt;"",IF(COUNTIF(Data!$K7:'Data'!$N7,TRUE)&gt;1,IF(AND(Data!$L7,$B6&lt;&gt;"B"),"B",IF(AND(Data!$M7,$B6&lt;&gt;"C"),"C","D")),""),"")</f>
        <v/>
      </c>
      <c r="D6" t="str">
        <f>IF($A6&lt;&gt;"",IF(COUNTIF(Data!$K7:'Data'!$N7,TRUE)&gt;2,IF(AND(Data!$M7,$C6&lt;&gt;"C"),"C","D"),""),"")</f>
        <v/>
      </c>
      <c r="E6" t="str">
        <f>IF($A6&lt;&gt;"",IF(COUNTIF(Data!$K7:'Data'!$N7,TRUE)&gt;3,"D",""),"")</f>
        <v/>
      </c>
      <c r="G6" s="41">
        <v>0.41666666666666669</v>
      </c>
      <c r="H6" s="41">
        <v>0.58333333333333337</v>
      </c>
    </row>
    <row r="7" spans="1:8" x14ac:dyDescent="0.25">
      <c r="A7" t="str">
        <f>IF(Data!$A8&lt;&gt;"",Data!$A8,"")</f>
        <v>Cheryl</v>
      </c>
      <c r="B7" t="str">
        <f>IFERROR(IF($A7&lt;&gt;"",IF(Data!$K8,"A",IF(Data!$L8,"B",IF(Data!$M8,"C","D"))),""),"")</f>
        <v>A</v>
      </c>
      <c r="C7" t="str">
        <f>IF($A7&lt;&gt;"",IF(COUNTIF(Data!$K8:'Data'!$N8,TRUE)&gt;1,IF(AND(Data!$L8,$B7&lt;&gt;"B"),"B",IF(AND(Data!$M8,$B7&lt;&gt;"C"),"C","D")),""),"")</f>
        <v>B</v>
      </c>
      <c r="D7" t="str">
        <f>IF($A7&lt;&gt;"",IF(COUNTIF(Data!$K8:'Data'!$N8,TRUE)&gt;2,IF(AND(Data!$M8,$C7&lt;&gt;"C"),"C","D"),""),"")</f>
        <v>C</v>
      </c>
      <c r="E7" t="str">
        <f>IF($A7&lt;&gt;"",IF(COUNTIF(Data!$K8:'Data'!$N8,TRUE)&gt;3,"D",""),"")</f>
        <v>D</v>
      </c>
      <c r="G7" s="41">
        <v>0.45833333333333331</v>
      </c>
      <c r="H7" s="41">
        <v>0.54166666666666663</v>
      </c>
    </row>
    <row r="8" spans="1:8" x14ac:dyDescent="0.25">
      <c r="A8" t="str">
        <f>IF(Data!$A9&lt;&gt;"",Data!$A9,"")</f>
        <v>Ali</v>
      </c>
      <c r="B8" t="str">
        <f>IFERROR(IF($A8&lt;&gt;"",IF(Data!$K9,"A",IF(Data!$L9,"B",IF(Data!$M9,"C","D"))),""),"")</f>
        <v>A</v>
      </c>
      <c r="C8" t="str">
        <f>IF($A8&lt;&gt;"",IF(COUNTIF(Data!$K9:'Data'!$N9,TRUE)&gt;1,IF(AND(Data!$L9,$B8&lt;&gt;"B"),"B",IF(AND(Data!$M9,$B8&lt;&gt;"C"),"C","D")),""),"")</f>
        <v>D</v>
      </c>
      <c r="D8" t="str">
        <f>IF($A8&lt;&gt;"",IF(COUNTIF(Data!$K9:'Data'!$N9,TRUE)&gt;2,IF(AND(Data!$M9,$C8&lt;&gt;"C"),"C","D"),""),"")</f>
        <v/>
      </c>
      <c r="E8" t="str">
        <f>IF($A8&lt;&gt;"",IF(COUNTIF(Data!$K9:'Data'!$N9,TRUE)&gt;3,"D",""),"")</f>
        <v/>
      </c>
      <c r="G8" s="41">
        <v>0.5</v>
      </c>
      <c r="H8" s="41">
        <v>0.5</v>
      </c>
    </row>
    <row r="9" spans="1:8" x14ac:dyDescent="0.25">
      <c r="A9" t="str">
        <f>IF(Data!$A10&lt;&gt;"",Data!$A10,"")</f>
        <v>Todd</v>
      </c>
      <c r="B9" t="str">
        <f>IFERROR(IF($A9&lt;&gt;"",IF(Data!$K10,"A",IF(Data!$L10,"B",IF(Data!$M10,"C","D"))),""),"")</f>
        <v>A</v>
      </c>
      <c r="C9" t="str">
        <f>IF($A9&lt;&gt;"",IF(COUNTIF(Data!$K10:'Data'!$N10,TRUE)&gt;1,IF(AND(Data!$L10,$B9&lt;&gt;"B"),"B",IF(AND(Data!$M10,$B9&lt;&gt;"C"),"C","D")),""),"")</f>
        <v>B</v>
      </c>
      <c r="D9" t="str">
        <f>IF($A9&lt;&gt;"",IF(COUNTIF(Data!$K10:'Data'!$N10,TRUE)&gt;2,IF(AND(Data!$M10,$C9&lt;&gt;"C"),"C","D"),""),"")</f>
        <v>C</v>
      </c>
      <c r="E9" t="str">
        <f>IF($A9&lt;&gt;"",IF(COUNTIF(Data!$K10:'Data'!$N10,TRUE)&gt;3,"D",""),"")</f>
        <v/>
      </c>
      <c r="G9" s="41">
        <v>0.54166666666666663</v>
      </c>
      <c r="H9" s="41">
        <v>0.45833333333333331</v>
      </c>
    </row>
    <row r="10" spans="1:8" x14ac:dyDescent="0.25">
      <c r="A10" t="str">
        <f>IF(Data!$A11&lt;&gt;"",Data!$A11,"")</f>
        <v/>
      </c>
      <c r="B10" t="str">
        <f>IF($A10&lt;&gt;"",IF(Data!$K11,"A",IF(Data!$L11,"B",IF(Data!$M11,"C","D"))),"")</f>
        <v/>
      </c>
      <c r="C10" t="str">
        <f>IF($A10&lt;&gt;"",IF(COUNTIF(Data!$K11:'Data'!$N11,TRUE)&gt;1,IF(Data!$L11,"B",IF(Data!$M11,"C","D")),""),"")</f>
        <v/>
      </c>
      <c r="D10" t="str">
        <f>IF($A10&lt;&gt;"",IF(COUNTIF(Data!$K11:'Data'!$N11,TRUE)&gt;2,IF(Data!$M11,"C","D"),""),"")</f>
        <v/>
      </c>
      <c r="E10" t="str">
        <f>IF($A10&lt;&gt;"",IF(COUNTIF(Data!$K11:'Data'!$N11,TRUE)&gt;3,"D",""),"")</f>
        <v/>
      </c>
      <c r="G10" s="41">
        <v>0.58333333333333337</v>
      </c>
      <c r="H10" s="41">
        <v>0.41666666666666669</v>
      </c>
    </row>
    <row r="11" spans="1:8" x14ac:dyDescent="0.25">
      <c r="A11" t="str">
        <f>IF(Data!$A12&lt;&gt;"",Data!$A12,"")</f>
        <v/>
      </c>
      <c r="B11" t="str">
        <f>IF($A11&lt;&gt;"",IF(Data!$K12,"A",IF(Data!$L12,"B",IF(Data!$M12,"C","D"))),"")</f>
        <v/>
      </c>
      <c r="C11" t="str">
        <f>IF($A11&lt;&gt;"",IF(COUNTIF(Data!$K12:'Data'!$N12,TRUE)&gt;1,IF(Data!$L12,"B",IF(Data!$M12,"C","D")),""),"")</f>
        <v/>
      </c>
      <c r="D11" t="str">
        <f>IF($A11&lt;&gt;"",IF(COUNTIF(Data!$K12:'Data'!$N12,TRUE)&gt;2,IF(Data!$M12,"C","D"),""),"")</f>
        <v/>
      </c>
      <c r="E11" t="str">
        <f>IF($A11&lt;&gt;"",IF(COUNTIF(Data!$K12:'Data'!$N12,TRUE)&gt;3,"D",""),"")</f>
        <v/>
      </c>
      <c r="G11" s="41">
        <v>0.625</v>
      </c>
      <c r="H11" s="41">
        <v>0.375</v>
      </c>
    </row>
    <row r="12" spans="1:8" x14ac:dyDescent="0.25">
      <c r="A12" t="str">
        <f>IF(Data!$A13&lt;&gt;"",Data!$A13,"")</f>
        <v/>
      </c>
      <c r="B12" t="str">
        <f>IF($A12&lt;&gt;"",IF(Data!$K13,"A",IF(Data!$L13,"B",IF(Data!$M13,"C","D"))),"")</f>
        <v/>
      </c>
      <c r="C12" t="str">
        <f>IF($A12&lt;&gt;"",IF(COUNTIF(Data!$K13:'Data'!$N13,TRUE)&gt;1,IF(Data!$L13,"B",IF(Data!$M13,"C","D")),""),"")</f>
        <v/>
      </c>
      <c r="D12" t="str">
        <f>IF($A12&lt;&gt;"",IF(COUNTIF(Data!$K13:'Data'!$N13,TRUE)&gt;2,IF(Data!$M13,"C","D"),""),"")</f>
        <v/>
      </c>
      <c r="E12" t="str">
        <f>IF($A12&lt;&gt;"",IF(COUNTIF(Data!$K13:'Data'!$N13,TRUE)&gt;3,"D",""),"")</f>
        <v/>
      </c>
      <c r="G12" s="41">
        <v>0.66666666666666663</v>
      </c>
      <c r="H12" s="41">
        <v>0.33333333333333331</v>
      </c>
    </row>
    <row r="13" spans="1:8" x14ac:dyDescent="0.25">
      <c r="A13" t="str">
        <f>IF(Data!$A14&lt;&gt;"",Data!$A14,"")</f>
        <v/>
      </c>
      <c r="B13" t="str">
        <f>IF($A13&lt;&gt;"",IF(Data!$K14,"A",IF(Data!$L14,"B",IF(Data!$M14,"C","D"))),"")</f>
        <v/>
      </c>
      <c r="C13" t="str">
        <f>IF($A13&lt;&gt;"",IF(COUNTIF(Data!$K14:'Data'!$N14,TRUE)&gt;1,IF(Data!$L14,"B",IF(Data!$M14,"C","D")),""),"")</f>
        <v/>
      </c>
      <c r="D13" t="str">
        <f>IF($A13&lt;&gt;"",IF(COUNTIF(Data!$K14:'Data'!$N14,TRUE)&gt;2,IF(Data!$M14,"C","D"),""),"")</f>
        <v/>
      </c>
      <c r="E13" t="str">
        <f>IF($A13&lt;&gt;"",IF(COUNTIF(Data!$K14:'Data'!$N14,TRUE)&gt;3,"D",""),"")</f>
        <v/>
      </c>
      <c r="G13" s="41">
        <v>0.70833333333333337</v>
      </c>
      <c r="H13" s="41">
        <v>0.29166666666666669</v>
      </c>
    </row>
    <row r="14" spans="1:8" x14ac:dyDescent="0.25">
      <c r="A14" t="str">
        <f>IF(Data!$A15&lt;&gt;"",Data!$A15,"")</f>
        <v/>
      </c>
      <c r="B14" t="str">
        <f>IF($A14&lt;&gt;"",IF(Data!$K15,"A",IF(Data!$L15,"B",IF(Data!$M15,"C","D"))),"")</f>
        <v/>
      </c>
      <c r="C14" t="str">
        <f>IF($A14&lt;&gt;"",IF(COUNTIF(Data!$K15:'Data'!$N15,TRUE)&gt;1,IF(Data!$L15,"B",IF(Data!$M15,"C","D")),""),"")</f>
        <v/>
      </c>
      <c r="D14" t="str">
        <f>IF($A14&lt;&gt;"",IF(COUNTIF(Data!$K15:'Data'!$N15,TRUE)&gt;2,IF(Data!$M15,"C","D"),""),"")</f>
        <v/>
      </c>
      <c r="E14" t="str">
        <f>IF($A14&lt;&gt;"",IF(COUNTIF(Data!$K15:'Data'!$N15,TRUE)&gt;3,"D",""),"")</f>
        <v/>
      </c>
    </row>
    <row r="15" spans="1:8" x14ac:dyDescent="0.25">
      <c r="A15" t="str">
        <f>IF(Data!$A16&lt;&gt;"",Data!$A16,"")</f>
        <v/>
      </c>
      <c r="B15" t="str">
        <f>IF($A15&lt;&gt;"",IF(Data!$K16,"A",IF(Data!$L16,"B",IF(Data!$M16,"C","D"))),"")</f>
        <v/>
      </c>
      <c r="C15" t="str">
        <f>IF($A15&lt;&gt;"",IF(COUNTIF(Data!$K16:'Data'!$N16,TRUE)&gt;1,IF(Data!$L16,"B",IF(Data!$M16,"C","D")),""),"")</f>
        <v/>
      </c>
      <c r="D15" t="str">
        <f>IF($A15&lt;&gt;"",IF(COUNTIF(Data!$K16:'Data'!$N16,TRUE)&gt;2,IF(Data!$M16,"C","D"),""),"")</f>
        <v/>
      </c>
      <c r="E15" t="str">
        <f>IF($A15&lt;&gt;"",IF(COUNTIF(Data!$K16:'Data'!$N16,TRUE)&gt;3,"D",""),"")</f>
        <v/>
      </c>
    </row>
    <row r="16" spans="1:8" x14ac:dyDescent="0.25">
      <c r="A16" t="str">
        <f>IF(Data!$A17&lt;&gt;"",Data!$A17,"")</f>
        <v/>
      </c>
      <c r="B16" t="str">
        <f>IF($A16&lt;&gt;"",IF(Data!$K17,"A",IF(Data!$L17,"B",IF(Data!$M17,"C","D"))),"")</f>
        <v/>
      </c>
      <c r="C16" t="str">
        <f>IF($A16&lt;&gt;"",IF(COUNTIF(Data!$K17:'Data'!$N17,TRUE)&gt;1,IF(Data!$L17,"B",IF(Data!$M17,"C","D")),""),"")</f>
        <v/>
      </c>
      <c r="D16" t="str">
        <f>IF($A16&lt;&gt;"",IF(COUNTIF(Data!$K17:'Data'!$N17,TRUE)&gt;2,IF(Data!$M17,"C","D"),""),"")</f>
        <v/>
      </c>
      <c r="E16" t="str">
        <f>IF($A16&lt;&gt;"",IF(COUNTIF(Data!$K17:'Data'!$N17,TRUE)&gt;3,"D",""),"")</f>
        <v/>
      </c>
    </row>
    <row r="17" spans="1:5" x14ac:dyDescent="0.25">
      <c r="A17" t="str">
        <f>IF(Data!$A18&lt;&gt;"",Data!$A18,"")</f>
        <v/>
      </c>
      <c r="B17" t="str">
        <f>IF($A17&lt;&gt;"",IF(Data!$K18,"A",IF(Data!$L18,"B",IF(Data!$M18,"C","D"))),"")</f>
        <v/>
      </c>
      <c r="C17" t="str">
        <f>IF($A17&lt;&gt;"",IF(COUNTIF(Data!$K18:'Data'!$N18,TRUE)&gt;1,IF(Data!$L18,"B",IF(Data!$M18,"C","D")),""),"")</f>
        <v/>
      </c>
      <c r="D17" t="str">
        <f>IF($A17&lt;&gt;"",IF(COUNTIF(Data!$K18:'Data'!$N18,TRUE)&gt;2,IF(Data!$M18,"C","D"),""),"")</f>
        <v/>
      </c>
      <c r="E17" t="str">
        <f>IF($A17&lt;&gt;"",IF(COUNTIF(Data!$K18:'Data'!$N18,TRUE)&gt;3,"D",""),"")</f>
        <v/>
      </c>
    </row>
    <row r="18" spans="1:5" x14ac:dyDescent="0.25">
      <c r="A18" t="str">
        <f>IF(Data!$A19&lt;&gt;"",Data!$A19,"")</f>
        <v/>
      </c>
      <c r="B18" t="str">
        <f>IF($A18&lt;&gt;"",IF(Data!$K19,"A",IF(Data!$L19,"B",IF(Data!$M19,"C","D"))),"")</f>
        <v/>
      </c>
      <c r="C18" t="str">
        <f>IF($A18&lt;&gt;"",IF(COUNTIF(Data!$K19:'Data'!$N19,TRUE)&gt;1,IF(Data!$L19,"B",IF(Data!$M19,"C","D")),""),"")</f>
        <v/>
      </c>
      <c r="D18" t="str">
        <f>IF($A18&lt;&gt;"",IF(COUNTIF(Data!$K19:'Data'!$N19,TRUE)&gt;2,IF(Data!$M19,"C","D"),""),"")</f>
        <v/>
      </c>
      <c r="E18" t="str">
        <f>IF($A18&lt;&gt;"",IF(COUNTIF(Data!$K19:'Data'!$N19,TRUE)&gt;3,"D",""),"")</f>
        <v/>
      </c>
    </row>
    <row r="19" spans="1:5" x14ac:dyDescent="0.25">
      <c r="A19" t="str">
        <f>IF(Data!$A20&lt;&gt;"",Data!$A20,"")</f>
        <v/>
      </c>
      <c r="B19" t="str">
        <f>IF($A19&lt;&gt;"",IF(Data!$K20,"A",IF(Data!$L20,"B",IF(Data!$M20,"C","D"))),"")</f>
        <v/>
      </c>
      <c r="C19" t="str">
        <f>IF($A19&lt;&gt;"",IF(COUNTIF(Data!$K20:'Data'!$N20,TRUE)&gt;1,IF(Data!$L20,"B",IF(Data!$M20,"C","D")),""),"")</f>
        <v/>
      </c>
      <c r="D19" t="str">
        <f>IF($A19&lt;&gt;"",IF(COUNTIF(Data!$K20:'Data'!$N20,TRUE)&gt;2,IF(Data!$M20,"C","D"),""),"")</f>
        <v/>
      </c>
      <c r="E19" t="str">
        <f>IF($A19&lt;&gt;"",IF(COUNTIF(Data!$K20:'Data'!$N20,TRUE)&gt;3,"D",""),"")</f>
        <v/>
      </c>
    </row>
    <row r="20" spans="1:5" x14ac:dyDescent="0.25">
      <c r="A20" t="str">
        <f>IF(Data!$A21&lt;&gt;"",Data!$A21,"")</f>
        <v/>
      </c>
      <c r="B20" t="str">
        <f>IF($A20&lt;&gt;"",IF(Data!$K21,"A",IF(Data!$L21,"B",IF(Data!$M21,"C","D"))),"")</f>
        <v/>
      </c>
      <c r="C20" t="str">
        <f>IF($A20&lt;&gt;"",IF(COUNTIF(Data!$K21:'Data'!$N21,TRUE)&gt;1,IF(Data!$L21,"B",IF(Data!$M21,"C","D")),""),"")</f>
        <v/>
      </c>
      <c r="D20" t="str">
        <f>IF($A20&lt;&gt;"",IF(COUNTIF(Data!$K21:'Data'!$N21,TRUE)&gt;2,IF(Data!$M21,"C","D"),""),"")</f>
        <v/>
      </c>
      <c r="E20" t="str">
        <f>IF($A20&lt;&gt;"",IF(COUNTIF(Data!$K21:'Data'!$N21,TRUE)&gt;3,"D",""),"")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Schedule</vt:lpstr>
      <vt:lpstr>Data</vt:lpstr>
      <vt:lpstr>Calc2</vt:lpstr>
      <vt:lpstr>Schedule!Break1</vt:lpstr>
      <vt:lpstr>Schedule!Break10</vt:lpstr>
      <vt:lpstr>Schedule!Break11</vt:lpstr>
      <vt:lpstr>Schedule!Break12</vt:lpstr>
      <vt:lpstr>Schedule!Break2</vt:lpstr>
      <vt:lpstr>Schedule!Break3</vt:lpstr>
      <vt:lpstr>Schedule!Break4</vt:lpstr>
      <vt:lpstr>Schedule!Break5</vt:lpstr>
      <vt:lpstr>Schedule!Break6</vt:lpstr>
      <vt:lpstr>Schedule!Break7</vt:lpstr>
      <vt:lpstr>Schedule!Break8</vt:lpstr>
      <vt:lpstr>Schedule!Break9</vt:lpstr>
      <vt:lpstr>Schedule!Hour1</vt:lpstr>
      <vt:lpstr>Schedule!Hour10</vt:lpstr>
      <vt:lpstr>Schedule!Hour11</vt:lpstr>
      <vt:lpstr>Schedule!Hour12</vt:lpstr>
      <vt:lpstr>Schedule!Hour2</vt:lpstr>
      <vt:lpstr>Schedule!Hour3</vt:lpstr>
      <vt:lpstr>Schedule!Hour4</vt:lpstr>
      <vt:lpstr>Schedule!Hour5</vt:lpstr>
      <vt:lpstr>Schedule!Hour6</vt:lpstr>
      <vt:lpstr>Schedule!Hour7</vt:lpstr>
      <vt:lpstr>Schedule!Hour8</vt:lpstr>
      <vt:lpstr>Schedule!Hour9</vt:lpstr>
      <vt:lpstr>Schedule!PTO</vt:lpstr>
      <vt:lpstr>Schedule!Staff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Mason Daniel</dc:creator>
  <cp:lastModifiedBy>Mason Daniel</cp:lastModifiedBy>
  <dcterms:created xsi:type="dcterms:W3CDTF">2020-03-10T01:43:53Z</dcterms:created>
  <dcterms:modified xsi:type="dcterms:W3CDTF">2020-06-07T20:26:22Z</dcterms:modified>
</cp:coreProperties>
</file>